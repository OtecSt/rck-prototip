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updateLinks="never"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aleksandr/Downloads/"/>
    </mc:Choice>
  </mc:AlternateContent>
  <xr:revisionPtr revIDLastSave="0" documentId="13_ncr:1_{F62C28B3-4AA9-4445-93C0-7833455CDCCA}" xr6:coauthVersionLast="47" xr6:coauthVersionMax="47" xr10:uidLastSave="{00000000-0000-0000-0000-000000000000}"/>
  <bookViews>
    <workbookView xWindow="0" yWindow="600" windowWidth="33600" windowHeight="18840" tabRatio="796" activeTab="1" xr2:uid="{00000000-000D-0000-FFFF-FFFF00000000}"/>
  </bookViews>
  <sheets>
    <sheet name="Инструкция" sheetId="23" r:id="rId1"/>
    <sheet name="Чек-лист" sheetId="18" r:id="rId2"/>
    <sheet name="Tech" sheetId="26" state="hidden" r:id="rId3"/>
    <sheet name="Экономический эффект" sheetId="8" r:id="rId4"/>
    <sheet name="Декомпозиция ЭЭ" sheetId="6" r:id="rId5"/>
    <sheet name="Сверхурочные" sheetId="25" r:id="rId6"/>
    <sheet name="Реестр моделей ЭЭ" sheetId="27" r:id="rId7"/>
    <sheet name="Изменения" sheetId="24" state="hidden" r:id="rId8"/>
    <sheet name="списки" sheetId="15" state="hidden" r:id="rId9"/>
    <sheet name="Пример расчета" sheetId="13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1" hidden="1">'Чек-лист'!$A$16:$K$192</definedName>
    <definedName name="_xlnm._FilterDatabase" localSheetId="3" hidden="1">'Экономический эффект'!$B$9:$G$133</definedName>
    <definedName name="_ftn1" localSheetId="9">'Пример расчета'!$B$174</definedName>
    <definedName name="_ftnref1" localSheetId="9">'Пример расчета'!$B$26</definedName>
    <definedName name="_xlnm.Print_Area" localSheetId="1">'Чек-лист'!$C$4:$H$203</definedName>
    <definedName name="_xlnm.Print_Area" localSheetId="3">'Экономический эффект'!$B$6:$G$179</definedName>
    <definedName name="Bottleneck_до" localSheetId="1">'Чек-лист'!$G$174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7" i="18" l="1"/>
  <c r="G84" i="18"/>
  <c r="G85" i="18"/>
  <c r="G87" i="18"/>
  <c r="G88" i="18"/>
  <c r="H88" i="18"/>
  <c r="I187" i="18"/>
  <c r="I88" i="18"/>
  <c r="I87" i="18"/>
  <c r="I85" i="18" l="1"/>
  <c r="I84" i="18" l="1"/>
  <c r="H77" i="18"/>
  <c r="C1" i="23"/>
  <c r="M7" i="26" a="1"/>
  <c r="M7" i="26" s="1"/>
  <c r="M15" i="26" a="1"/>
  <c r="M15" i="26" s="1"/>
  <c r="M14" i="26" a="1"/>
  <c r="M14" i="26" s="1"/>
  <c r="M13" i="26" a="1"/>
  <c r="M13" i="26" s="1"/>
  <c r="M12" i="26" a="1"/>
  <c r="M12" i="26" s="1"/>
  <c r="M11" i="26" a="1"/>
  <c r="M11" i="26" s="1"/>
  <c r="M10" i="26" a="1"/>
  <c r="M10" i="26" s="1"/>
  <c r="M9" i="26" a="1"/>
  <c r="M9" i="26" s="1"/>
  <c r="N8" i="26" a="1"/>
  <c r="N8" i="26" s="1"/>
  <c r="M8" i="26" a="1"/>
  <c r="M8" i="26" s="1"/>
  <c r="M6" i="26" a="1"/>
  <c r="M6" i="26" s="1"/>
  <c r="N4" i="26" a="1"/>
  <c r="N4" i="26" s="1"/>
  <c r="M4" i="26" a="1"/>
  <c r="M4" i="26" s="1"/>
  <c r="M3" i="26" a="1"/>
  <c r="M3" i="26" s="1"/>
  <c r="N2" i="26" a="1"/>
  <c r="N2" i="26" s="1"/>
  <c r="M2" i="26" a="1"/>
  <c r="M2" i="26" s="1"/>
  <c r="E133" i="18"/>
  <c r="E102" i="18"/>
  <c r="E46" i="18"/>
  <c r="E1" i="25"/>
  <c r="AB1" i="6"/>
  <c r="G5" i="8"/>
  <c r="E109" i="18"/>
  <c r="E176" i="8"/>
  <c r="E184" i="18"/>
  <c r="E185" i="18" s="1"/>
  <c r="E157" i="18"/>
  <c r="F126" i="8"/>
  <c r="J120" i="18"/>
  <c r="J20" i="18"/>
  <c r="D12" i="25"/>
  <c r="E9" i="25"/>
  <c r="E12" i="25" s="1"/>
  <c r="D9" i="25"/>
  <c r="D15" i="25" s="1"/>
  <c r="J109" i="18"/>
  <c r="F159" i="8"/>
  <c r="F30" i="8"/>
  <c r="E30" i="8"/>
  <c r="K87" i="18"/>
  <c r="E126" i="8"/>
  <c r="F84" i="8"/>
  <c r="E84" i="8"/>
  <c r="F60" i="8"/>
  <c r="E60" i="8"/>
  <c r="E31" i="8"/>
  <c r="E25" i="8"/>
  <c r="H85" i="18" l="1"/>
  <c r="H84" i="18"/>
  <c r="E15" i="25"/>
  <c r="D17" i="25"/>
  <c r="E17" i="25"/>
  <c r="E116" i="8"/>
  <c r="E121" i="8" l="1"/>
  <c r="F121" i="8"/>
  <c r="E98" i="8"/>
  <c r="F98" i="8"/>
  <c r="E81" i="8"/>
  <c r="F81" i="8"/>
  <c r="E65" i="8"/>
  <c r="F65" i="8"/>
  <c r="E55" i="8"/>
  <c r="F55" i="8"/>
  <c r="E57" i="8"/>
  <c r="E37" i="8"/>
  <c r="F37" i="8"/>
  <c r="E27" i="8"/>
  <c r="F27" i="8"/>
  <c r="G65" i="8" l="1"/>
  <c r="E19" i="8"/>
  <c r="E84" i="18" l="1"/>
  <c r="J75" i="18" l="1"/>
  <c r="F104" i="8" l="1"/>
  <c r="E110" i="8"/>
  <c r="E162" i="8" l="1"/>
  <c r="F162" i="8"/>
  <c r="E68" i="8" l="1"/>
  <c r="E18" i="8" l="1"/>
  <c r="E48" i="8"/>
  <c r="F50" i="8"/>
  <c r="E50" i="8"/>
  <c r="F51" i="8" l="1"/>
  <c r="J26" i="18"/>
  <c r="J135" i="18"/>
  <c r="J139" i="18"/>
  <c r="J143" i="18"/>
  <c r="J91" i="18"/>
  <c r="J119" i="18"/>
  <c r="J104" i="18"/>
  <c r="J101" i="18"/>
  <c r="J98" i="18"/>
  <c r="J95" i="18"/>
  <c r="J74" i="18"/>
  <c r="F49" i="8" l="1"/>
  <c r="E88" i="18"/>
  <c r="E87" i="18"/>
  <c r="E85" i="18"/>
  <c r="E81" i="18"/>
  <c r="E82" i="18" s="1"/>
  <c r="F75" i="8" s="1"/>
  <c r="E83" i="18" l="1"/>
  <c r="F73" i="8" l="1"/>
  <c r="D81" i="18"/>
  <c r="D82" i="18" s="1"/>
  <c r="E72" i="8" l="1"/>
  <c r="J84" i="18" s="1"/>
  <c r="D83" i="18"/>
  <c r="E73" i="8" s="1"/>
  <c r="F138" i="8"/>
  <c r="E139" i="8"/>
  <c r="E138" i="8"/>
  <c r="F164" i="8"/>
  <c r="F163" i="8"/>
  <c r="E75" i="8" l="1"/>
  <c r="F72" i="8"/>
  <c r="M159" i="6"/>
  <c r="G163" i="8"/>
  <c r="E211" i="8" s="1"/>
  <c r="M160" i="6"/>
  <c r="G164" i="8"/>
  <c r="E137" i="8"/>
  <c r="M158" i="6"/>
  <c r="E179" i="8"/>
  <c r="F179" i="8"/>
  <c r="F178" i="8"/>
  <c r="E178" i="8"/>
  <c r="F175" i="8"/>
  <c r="E175" i="8"/>
  <c r="F172" i="8"/>
  <c r="E173" i="8"/>
  <c r="F173" i="8" s="1"/>
  <c r="E172" i="8"/>
  <c r="F160" i="8"/>
  <c r="F158" i="8"/>
  <c r="E209" i="8" s="1"/>
  <c r="E153" i="8"/>
  <c r="F152" i="8"/>
  <c r="E152" i="8"/>
  <c r="E150" i="8"/>
  <c r="F149" i="8"/>
  <c r="E149" i="8"/>
  <c r="E147" i="8"/>
  <c r="F147" i="8" s="1"/>
  <c r="F146" i="8"/>
  <c r="E146" i="8"/>
  <c r="E144" i="8"/>
  <c r="F143" i="8"/>
  <c r="E143" i="8"/>
  <c r="F139" i="8"/>
  <c r="F137" i="8" s="1"/>
  <c r="F136" i="8"/>
  <c r="E136" i="8"/>
  <c r="F111" i="8"/>
  <c r="F113" i="8" s="1"/>
  <c r="E111" i="8"/>
  <c r="E117" i="8"/>
  <c r="F22" i="8"/>
  <c r="E133" i="8"/>
  <c r="F131" i="8"/>
  <c r="E131" i="8"/>
  <c r="E124" i="8"/>
  <c r="E127" i="8"/>
  <c r="F127" i="8" s="1"/>
  <c r="E123" i="8"/>
  <c r="E106" i="8"/>
  <c r="E105" i="8" s="1"/>
  <c r="E103" i="8"/>
  <c r="E102" i="8" s="1"/>
  <c r="G140" i="8"/>
  <c r="AG79" i="6"/>
  <c r="F95" i="8"/>
  <c r="AG70" i="6" s="1"/>
  <c r="F92" i="8"/>
  <c r="AG61" i="6" s="1"/>
  <c r="F89" i="8"/>
  <c r="E99" i="8"/>
  <c r="AK79" i="6" s="1"/>
  <c r="AF79" i="6"/>
  <c r="E96" i="8"/>
  <c r="AK70" i="6" s="1"/>
  <c r="E95" i="8"/>
  <c r="AF70" i="6" s="1"/>
  <c r="E93" i="8"/>
  <c r="AK61" i="6" s="1"/>
  <c r="E92" i="8"/>
  <c r="AF61" i="6" s="1"/>
  <c r="E90" i="8"/>
  <c r="E89" i="8"/>
  <c r="E85" i="8"/>
  <c r="F85" i="8" s="1"/>
  <c r="E82" i="8"/>
  <c r="F82" i="8" s="1"/>
  <c r="E67" i="8"/>
  <c r="E64" i="8" s="1"/>
  <c r="E61" i="8"/>
  <c r="E58" i="8"/>
  <c r="F43" i="8"/>
  <c r="E44" i="8"/>
  <c r="E43" i="8"/>
  <c r="F40" i="8"/>
  <c r="E41" i="8"/>
  <c r="E40" i="8"/>
  <c r="E38" i="8"/>
  <c r="F34" i="8"/>
  <c r="E35" i="8"/>
  <c r="E34" i="8"/>
  <c r="F31" i="8"/>
  <c r="E28" i="8"/>
  <c r="F28" i="8" s="1"/>
  <c r="E21" i="8"/>
  <c r="E47" i="8"/>
  <c r="G156" i="8" l="1"/>
  <c r="F157" i="8"/>
  <c r="G131" i="8"/>
  <c r="E174" i="8"/>
  <c r="G137" i="8"/>
  <c r="E203" i="8" s="1"/>
  <c r="G136" i="8"/>
  <c r="E202" i="8" s="1"/>
  <c r="F61" i="8"/>
  <c r="F59" i="8" s="1"/>
  <c r="E59" i="8"/>
  <c r="F21" i="8"/>
  <c r="E113" i="8"/>
  <c r="E112" i="8"/>
  <c r="F112" i="8"/>
  <c r="F20" i="8"/>
  <c r="E29" i="8"/>
  <c r="E120" i="8"/>
  <c r="E54" i="8"/>
  <c r="AG80" i="6"/>
  <c r="AG62" i="6"/>
  <c r="AG71" i="6"/>
  <c r="F99" i="8"/>
  <c r="AL79" i="6" s="1"/>
  <c r="AL80" i="6" s="1"/>
  <c r="F90" i="8"/>
  <c r="F93" i="8"/>
  <c r="AL61" i="6" s="1"/>
  <c r="AL62" i="6" s="1"/>
  <c r="F177" i="8"/>
  <c r="F171" i="8"/>
  <c r="E177" i="8"/>
  <c r="E171" i="8"/>
  <c r="G139" i="8"/>
  <c r="F125" i="8"/>
  <c r="F56" i="8"/>
  <c r="F57" i="8" s="1"/>
  <c r="F54" i="8" s="1"/>
  <c r="F132" i="8"/>
  <c r="F133" i="8" s="1"/>
  <c r="F130" i="8" s="1"/>
  <c r="F122" i="8"/>
  <c r="F123" i="8" s="1"/>
  <c r="F120" i="8" s="1"/>
  <c r="F66" i="8"/>
  <c r="F67" i="8" s="1"/>
  <c r="F64" i="8" s="1"/>
  <c r="J50" i="8" s="1"/>
  <c r="E130" i="8"/>
  <c r="E125" i="8"/>
  <c r="E94" i="8"/>
  <c r="AA70" i="6" s="1"/>
  <c r="E97" i="8"/>
  <c r="AA79" i="6" s="1"/>
  <c r="F96" i="8"/>
  <c r="AL70" i="6" s="1"/>
  <c r="AL71" i="6" s="1"/>
  <c r="E91" i="8"/>
  <c r="AA61" i="6" s="1"/>
  <c r="G120" i="8" l="1"/>
  <c r="J48" i="8"/>
  <c r="G59" i="8"/>
  <c r="F18" i="8"/>
  <c r="G125" i="8"/>
  <c r="G171" i="8"/>
  <c r="E187" i="8" s="1"/>
  <c r="G177" i="8"/>
  <c r="E186" i="8" s="1"/>
  <c r="E52" i="8"/>
  <c r="F47" i="8"/>
  <c r="E118" i="8"/>
  <c r="F91" i="8"/>
  <c r="AB61" i="6" s="1"/>
  <c r="AB62" i="6" s="1"/>
  <c r="F97" i="8"/>
  <c r="F94" i="8"/>
  <c r="F129" i="8"/>
  <c r="F124" i="8" s="1"/>
  <c r="F44" i="8"/>
  <c r="F41" i="8"/>
  <c r="F38" i="8"/>
  <c r="F35" i="8"/>
  <c r="F118" i="8" l="1"/>
  <c r="F119" i="8" s="1"/>
  <c r="G54" i="8"/>
  <c r="AB79" i="6"/>
  <c r="AB80" i="6" s="1"/>
  <c r="G97" i="8"/>
  <c r="AB70" i="6"/>
  <c r="AB71" i="6" s="1"/>
  <c r="G94" i="8"/>
  <c r="E108" i="8"/>
  <c r="J112" i="8" s="1"/>
  <c r="E45" i="8"/>
  <c r="J45" i="8" s="1"/>
  <c r="G91" i="8"/>
  <c r="E36" i="8"/>
  <c r="E26" i="8"/>
  <c r="F36" i="8"/>
  <c r="E33" i="8"/>
  <c r="F33" i="8"/>
  <c r="F26" i="8"/>
  <c r="E39" i="8"/>
  <c r="F39" i="8"/>
  <c r="E42" i="8"/>
  <c r="F29" i="8"/>
  <c r="J20" i="8" s="1"/>
  <c r="F42" i="8"/>
  <c r="J21" i="8" l="1"/>
  <c r="G118" i="8"/>
  <c r="J19" i="8"/>
  <c r="G29" i="8"/>
  <c r="G33" i="8"/>
  <c r="G42" i="8"/>
  <c r="G36" i="8"/>
  <c r="G26" i="8"/>
  <c r="G39" i="8"/>
  <c r="F76" i="8"/>
  <c r="F63" i="8"/>
  <c r="F25" i="8" l="1"/>
  <c r="E24" i="8"/>
  <c r="F58" i="8"/>
  <c r="J49" i="8" s="1"/>
  <c r="E16" i="8" l="1"/>
  <c r="J16" i="8" s="1"/>
  <c r="F23" i="8"/>
  <c r="F19" i="8" s="1"/>
  <c r="J17" i="8" s="1"/>
  <c r="F52" i="8"/>
  <c r="G52" i="8" s="1"/>
  <c r="F24" i="8"/>
  <c r="G25" i="8"/>
  <c r="J22" i="18"/>
  <c r="F53" i="8" l="1"/>
  <c r="F16" i="8"/>
  <c r="G16" i="8" s="1"/>
  <c r="G17" i="8"/>
  <c r="F68" i="8" l="1"/>
  <c r="F48" i="8"/>
  <c r="J46" i="8" s="1"/>
  <c r="G46" i="8"/>
  <c r="F107" i="8"/>
  <c r="E107" i="8"/>
  <c r="F45" i="8" l="1"/>
  <c r="G45" i="8" s="1"/>
  <c r="G48" i="8"/>
  <c r="G107" i="8"/>
  <c r="G138" i="8"/>
  <c r="F105" i="8" l="1"/>
  <c r="F102" i="8"/>
  <c r="F114" i="8"/>
  <c r="Q140" i="6"/>
  <c r="R140" i="6"/>
  <c r="F116" i="8" l="1"/>
  <c r="J116" i="8"/>
  <c r="J114" i="8"/>
  <c r="J115" i="8"/>
  <c r="F115" i="8"/>
  <c r="F117" i="8" s="1"/>
  <c r="F110" i="8"/>
  <c r="G110" i="8" s="1"/>
  <c r="E159" i="8"/>
  <c r="W140" i="6"/>
  <c r="V140" i="6" s="1"/>
  <c r="E160" i="8"/>
  <c r="E157" i="8" l="1"/>
  <c r="G157" i="8" s="1"/>
  <c r="F108" i="8"/>
  <c r="G109" i="8"/>
  <c r="F176" i="8"/>
  <c r="F174" i="8" s="1"/>
  <c r="G174" i="8" s="1"/>
  <c r="E188" i="8" s="1"/>
  <c r="F153" i="8"/>
  <c r="G153" i="8" s="1"/>
  <c r="F150" i="8"/>
  <c r="G150" i="8" s="1"/>
  <c r="G147" i="8"/>
  <c r="F144" i="8"/>
  <c r="E155" i="8" l="1"/>
  <c r="G108" i="8"/>
  <c r="J113" i="8"/>
  <c r="E74" i="8"/>
  <c r="G152" i="8"/>
  <c r="G149" i="8"/>
  <c r="G146" i="8"/>
  <c r="E79" i="8" l="1"/>
  <c r="E77" i="8"/>
  <c r="F77" i="8" l="1"/>
  <c r="J72" i="8"/>
  <c r="E183" i="8" s="1"/>
  <c r="E78" i="8"/>
  <c r="E15" i="8" s="1"/>
  <c r="E71" i="8"/>
  <c r="E14" i="8" s="1"/>
  <c r="F74" i="8"/>
  <c r="F71" i="8" l="1"/>
  <c r="F14" i="8" s="1"/>
  <c r="J74" i="8"/>
  <c r="E210" i="8" s="1"/>
  <c r="E212" i="8" s="1"/>
  <c r="L43" i="6"/>
  <c r="E69" i="8"/>
  <c r="F12" i="15"/>
  <c r="F13" i="15"/>
  <c r="F15" i="15"/>
  <c r="F11" i="15"/>
  <c r="C16" i="15"/>
  <c r="C7" i="15"/>
  <c r="D5" i="15" s="1"/>
  <c r="D3" i="15" l="1"/>
  <c r="D4" i="15"/>
  <c r="D2" i="15"/>
  <c r="D6" i="15"/>
  <c r="D7" i="15" l="1"/>
  <c r="R141" i="6" l="1"/>
  <c r="AB113" i="6" l="1"/>
  <c r="AA113" i="6"/>
  <c r="W113" i="6"/>
  <c r="V113" i="6"/>
  <c r="AB97" i="6"/>
  <c r="AA97" i="6"/>
  <c r="AB105" i="6"/>
  <c r="AA105" i="6"/>
  <c r="W105" i="6"/>
  <c r="V105" i="6"/>
  <c r="W106" i="6" l="1"/>
  <c r="AB106" i="6"/>
  <c r="W114" i="6"/>
  <c r="AB114" i="6"/>
  <c r="AA121" i="6"/>
  <c r="V121" i="6"/>
  <c r="AB121" i="6"/>
  <c r="W121" i="6"/>
  <c r="AB98" i="6"/>
  <c r="F145" i="8"/>
  <c r="F151" i="8"/>
  <c r="E145" i="8"/>
  <c r="Q105" i="6" s="1"/>
  <c r="E151" i="8"/>
  <c r="Q121" i="6" s="1"/>
  <c r="F148" i="8"/>
  <c r="E148" i="8"/>
  <c r="Q113" i="6" s="1"/>
  <c r="G151" i="8" l="1"/>
  <c r="G148" i="8"/>
  <c r="G145" i="8"/>
  <c r="R113" i="6"/>
  <c r="R114" i="6" s="1"/>
  <c r="R121" i="6"/>
  <c r="R122" i="6" s="1"/>
  <c r="R105" i="6"/>
  <c r="R106" i="6" s="1"/>
  <c r="AB122" i="6"/>
  <c r="W122" i="6"/>
  <c r="W97" i="6"/>
  <c r="E142" i="8" l="1"/>
  <c r="E141" i="8" s="1"/>
  <c r="E135" i="8" s="1"/>
  <c r="V97" i="6"/>
  <c r="W98" i="6" s="1"/>
  <c r="F80" i="8"/>
  <c r="E80" i="8" l="1"/>
  <c r="L113" i="6"/>
  <c r="Q97" i="6"/>
  <c r="F142" i="8"/>
  <c r="G142" i="8" s="1"/>
  <c r="G80" i="8" l="1"/>
  <c r="J75" i="8"/>
  <c r="E195" i="8" s="1"/>
  <c r="R97" i="6"/>
  <c r="R98" i="6" s="1"/>
  <c r="F141" i="8"/>
  <c r="G141" i="8" s="1"/>
  <c r="E204" i="8" s="1"/>
  <c r="E205" i="8" s="1"/>
  <c r="E88" i="8"/>
  <c r="E83" i="8"/>
  <c r="F83" i="8"/>
  <c r="F88" i="8"/>
  <c r="J76" i="8" l="1"/>
  <c r="E196" i="8" s="1"/>
  <c r="F87" i="8"/>
  <c r="E87" i="8"/>
  <c r="G88" i="8"/>
  <c r="G83" i="8"/>
  <c r="M113" i="6"/>
  <c r="M114" i="6" s="1"/>
  <c r="M140" i="6"/>
  <c r="F135" i="8"/>
  <c r="G135" i="8" s="1"/>
  <c r="J88" i="18" l="1"/>
  <c r="J77" i="8"/>
  <c r="E197" i="8" s="1"/>
  <c r="V61" i="6"/>
  <c r="W61" i="6"/>
  <c r="G87" i="8"/>
  <c r="F79" i="8" s="1"/>
  <c r="F161" i="8" s="1"/>
  <c r="G178" i="8"/>
  <c r="G179" i="8"/>
  <c r="G172" i="8"/>
  <c r="G175" i="8"/>
  <c r="G173" i="8"/>
  <c r="F168" i="8"/>
  <c r="G176" i="8"/>
  <c r="W62" i="6" l="1"/>
  <c r="J73" i="8"/>
  <c r="E184" i="8" s="1"/>
  <c r="F155" i="8"/>
  <c r="G79" i="8"/>
  <c r="V8" i="6"/>
  <c r="M89" i="6"/>
  <c r="G70" i="8" l="1"/>
  <c r="F78" i="8"/>
  <c r="F15" i="8" s="1"/>
  <c r="E12" i="8"/>
  <c r="E100" i="8"/>
  <c r="F100" i="8"/>
  <c r="G102" i="8"/>
  <c r="G155" i="8" l="1"/>
  <c r="G161" i="8"/>
  <c r="E189" i="8" s="1"/>
  <c r="G13" i="8"/>
  <c r="G10" i="8" s="1"/>
  <c r="M43" i="6"/>
  <c r="M44" i="6" s="1"/>
  <c r="G15" i="8"/>
  <c r="G100" i="8"/>
  <c r="AA27" i="6"/>
  <c r="AA52" i="6"/>
  <c r="Q43" i="6"/>
  <c r="L140" i="6"/>
  <c r="G170" i="8"/>
  <c r="H33" i="6" l="1"/>
  <c r="C138" i="6"/>
  <c r="G196" i="18"/>
  <c r="E9" i="8"/>
  <c r="B134" i="6" s="1"/>
  <c r="E168" i="8"/>
  <c r="F166" i="8" s="1"/>
  <c r="M142" i="6"/>
  <c r="M141" i="6"/>
  <c r="AA35" i="6"/>
  <c r="AA43" i="6"/>
  <c r="AF52" i="6"/>
  <c r="V43" i="6"/>
  <c r="V31" i="6"/>
  <c r="G169" i="8"/>
  <c r="Q130" i="6"/>
  <c r="R130" i="6"/>
  <c r="AA130" i="6"/>
  <c r="AB130" i="6"/>
  <c r="Q168" i="6"/>
  <c r="R168" i="6"/>
  <c r="Q177" i="6"/>
  <c r="R177" i="6"/>
  <c r="Q186" i="6"/>
  <c r="R186" i="6"/>
  <c r="V186" i="6"/>
  <c r="W186" i="6"/>
  <c r="AA186" i="6"/>
  <c r="AB186" i="6"/>
  <c r="Q195" i="6"/>
  <c r="R195" i="6"/>
  <c r="V195" i="6"/>
  <c r="W195" i="6"/>
  <c r="AA195" i="6"/>
  <c r="AB195" i="6"/>
  <c r="R204" i="6"/>
  <c r="W204" i="6"/>
  <c r="AA204" i="6"/>
  <c r="AB204" i="6"/>
  <c r="F167" i="8" l="1"/>
  <c r="G167" i="8" s="1"/>
  <c r="G166" i="8"/>
  <c r="G168" i="8"/>
  <c r="H146" i="6"/>
  <c r="L149" i="6"/>
  <c r="R169" i="6"/>
  <c r="W187" i="6"/>
  <c r="W196" i="6"/>
  <c r="R187" i="6"/>
  <c r="R196" i="6"/>
  <c r="R178" i="6"/>
  <c r="R131" i="6"/>
  <c r="AL52" i="6"/>
  <c r="AK52" i="6"/>
  <c r="AL43" i="6"/>
  <c r="AK43" i="6"/>
  <c r="AG43" i="6"/>
  <c r="AF43" i="6"/>
  <c r="V16" i="6"/>
  <c r="Q149" i="6"/>
  <c r="G144" i="8"/>
  <c r="E198" i="8" s="1"/>
  <c r="G143" i="8"/>
  <c r="E185" i="8" l="1"/>
  <c r="E190" i="8"/>
  <c r="F11" i="8"/>
  <c r="Q52" i="6"/>
  <c r="Q12" i="6"/>
  <c r="AL53" i="6"/>
  <c r="AG44" i="6"/>
  <c r="L89" i="6"/>
  <c r="E191" i="8" l="1"/>
  <c r="G11" i="8"/>
  <c r="G197" i="18" s="1"/>
  <c r="C141" i="6"/>
  <c r="Q20" i="6"/>
  <c r="L16" i="6"/>
  <c r="G144" i="6"/>
  <c r="G31" i="6" l="1"/>
  <c r="M90" i="6" l="1"/>
  <c r="V204" i="6" l="1"/>
  <c r="W205" i="6" s="1"/>
  <c r="Q204" i="6" l="1"/>
  <c r="R205" i="6" s="1"/>
  <c r="G185" i="6"/>
  <c r="H185" i="6" l="1"/>
  <c r="H186" i="6" s="1"/>
  <c r="W8" i="6" l="1"/>
  <c r="W16" i="6"/>
  <c r="R149" i="6"/>
  <c r="R150" i="6" s="1"/>
  <c r="W9" i="6" l="1"/>
  <c r="R12" i="6"/>
  <c r="R13" i="6" s="1"/>
  <c r="R52" i="6"/>
  <c r="R53" i="6" s="1"/>
  <c r="AB43" i="6"/>
  <c r="AB44" i="6" s="1"/>
  <c r="AB27" i="6"/>
  <c r="AB28" i="6" s="1"/>
  <c r="W31" i="6"/>
  <c r="W32" i="6" s="1"/>
  <c r="F69" i="8"/>
  <c r="G69" i="8" s="1"/>
  <c r="F12" i="8"/>
  <c r="G71" i="8"/>
  <c r="F9" i="8" l="1"/>
  <c r="G9" i="8" s="1"/>
  <c r="F191" i="8" s="1"/>
  <c r="C192" i="8" s="1"/>
  <c r="M149" i="6"/>
  <c r="M150" i="6" s="1"/>
  <c r="H145" i="6"/>
  <c r="W43" i="6"/>
  <c r="W44" i="6" s="1"/>
  <c r="G12" i="8"/>
  <c r="AB35" i="6"/>
  <c r="AB36" i="6" s="1"/>
  <c r="M16" i="6"/>
  <c r="M17" i="6" s="1"/>
  <c r="H31" i="6"/>
  <c r="H32" i="6" s="1"/>
  <c r="R43" i="6"/>
  <c r="R44" i="6" s="1"/>
  <c r="AG52" i="6"/>
  <c r="AG53" i="6" s="1"/>
  <c r="AB52" i="6"/>
  <c r="AB53" i="6" s="1"/>
  <c r="R20" i="6"/>
  <c r="G14" i="8"/>
  <c r="H144" i="6"/>
  <c r="G195" i="18" l="1"/>
  <c r="G194" i="18" s="1"/>
  <c r="R21" i="6"/>
  <c r="V130" i="6"/>
  <c r="W130" i="6" l="1"/>
  <c r="W131" i="6" s="1"/>
  <c r="L130" i="6"/>
  <c r="M130" i="6" l="1"/>
  <c r="M131" i="6" s="1"/>
  <c r="G130" i="6" l="1"/>
  <c r="C134" i="6" l="1"/>
  <c r="C135" i="6" s="1"/>
  <c r="H130" i="6"/>
  <c r="H131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<sst xmlns="http://schemas.openxmlformats.org/spreadsheetml/2006/main" count="1772" uniqueCount="704">
  <si>
    <t>Инструкция по заполнению Чек-листа</t>
  </si>
  <si>
    <t>Шаг</t>
  </si>
  <si>
    <t>Действие</t>
  </si>
  <si>
    <t>Визуализация</t>
  </si>
  <si>
    <t xml:space="preserve">Нажмите на кнопку «Включить содержимое» </t>
  </si>
  <si>
    <t>Перейдите на лист "Чек-лист"</t>
  </si>
  <si>
    <t>Убедитесь, что модель не содержит данных от предыдущих расчетов. 
Или нажмите на кнопку "Очистить все данные"</t>
  </si>
  <si>
    <r>
      <t xml:space="preserve">Ответьте на вопросы, не закрашенные серым, «да» или «нет» 
</t>
    </r>
    <r>
      <rPr>
        <b/>
        <sz val="11"/>
        <color theme="1"/>
        <rFont val="Calibri"/>
        <family val="2"/>
        <charset val="204"/>
        <scheme val="minor"/>
      </rPr>
      <t>Внимание! Серые ячейки не заполняются</t>
    </r>
  </si>
  <si>
    <t>Нажмите на кнопку "Создать Чек-лист"</t>
  </si>
  <si>
    <t>Перейдите на лист "Экономический эффект", чтобы увидеть результат расчета</t>
  </si>
  <si>
    <t>Перейдите на лист "Декомпозиция ЭЭ", чтобы увидеть влияние проекта на основные элементы Дерева Целей</t>
  </si>
  <si>
    <t>доп.</t>
  </si>
  <si>
    <t>Если в процессе заполнения Чек-листа необходимо поменять ответы на вопросы, нажмите кнопку "Вернуться в вопросам"</t>
  </si>
  <si>
    <t xml:space="preserve"> </t>
  </si>
  <si>
    <r>
      <t xml:space="preserve">Если в процессе заполнения Чек-листа необходимо полностью удалить все данные, нажмите на кнопку "Очистить все данные"
</t>
    </r>
    <r>
      <rPr>
        <b/>
        <sz val="11"/>
        <color theme="1"/>
        <rFont val="Calibri"/>
        <family val="2"/>
        <charset val="204"/>
        <scheme val="minor"/>
      </rPr>
      <t>Внимание! Это действие не отменить. Нужно заполнить все заново</t>
    </r>
  </si>
  <si>
    <t>Ячейка, обязательная к заполнению ответами "да" / "нет"</t>
  </si>
  <si>
    <t>Ячейка, обязательная к заполнению (текст или цифры)</t>
  </si>
  <si>
    <t>Ячейка не заполняется</t>
  </si>
  <si>
    <r>
      <rPr>
        <b/>
        <sz val="11"/>
        <color theme="1"/>
        <rFont val="Times New Roman"/>
        <family val="1"/>
        <charset val="204"/>
      </rPr>
      <t xml:space="preserve">Чек-лист показателей для оценки экономического эффекта от реализации мероприятий на оптимизируемом потоке </t>
    </r>
    <r>
      <rPr>
        <b/>
        <sz val="12"/>
        <color theme="1"/>
        <rFont val="Times New Roman"/>
        <family val="1"/>
        <charset val="204"/>
      </rPr>
      <t xml:space="preserve">
</t>
    </r>
    <r>
      <rPr>
        <b/>
        <sz val="16"/>
        <color theme="1"/>
        <rFont val="Times New Roman"/>
        <family val="1"/>
        <charset val="204"/>
      </rPr>
      <t>(Справка о расчете экономического эффекта)</t>
    </r>
  </si>
  <si>
    <t>Наименование пилотного продукта (поток)</t>
  </si>
  <si>
    <t>Доля потока в выручке</t>
  </si>
  <si>
    <t>№ п/п</t>
  </si>
  <si>
    <t>Наименование показателя</t>
  </si>
  <si>
    <t>Аббревиатура</t>
  </si>
  <si>
    <t>Единица измерений</t>
  </si>
  <si>
    <t>Фильтры</t>
  </si>
  <si>
    <t>Значение показателя при первичном сборе данных</t>
  </si>
  <si>
    <t>Значение показателя при вторичном сборе данных</t>
  </si>
  <si>
    <t>Комментарии для заполнения</t>
  </si>
  <si>
    <t>Проверка</t>
  </si>
  <si>
    <t>Комментарий</t>
  </si>
  <si>
    <t>Вопрос</t>
  </si>
  <si>
    <t>Ответ</t>
  </si>
  <si>
    <t>Даты --&gt;</t>
  </si>
  <si>
    <t>?</t>
  </si>
  <si>
    <t>Оптимизируемый поток охватывает конечный передел (не является промежуточным переделом)?</t>
  </si>
  <si>
    <t>Полуфабрикаты</t>
  </si>
  <si>
    <t>Можно оценить рост объема реализации готовой продукции (ГП) предприятия в результате расшивки узкого места передела в рамках проекта?</t>
  </si>
  <si>
    <t>Процент роста объема реализации ГП / заказов по результатм проекта (экспертная оценка РП и предприятия)</t>
  </si>
  <si>
    <t>%</t>
  </si>
  <si>
    <t>Оценивается ГП, для которой продукция оптимизируемого потока является полуфабрикатом</t>
  </si>
  <si>
    <t>Выручка за год от реализации ГП / заказов, для которых продукция оптимизируемого потока является полуфабрикатом (без НДС)</t>
  </si>
  <si>
    <t>рубли</t>
  </si>
  <si>
    <t>Переменные затраты за год на производство ГП / заказов, для которых продукция оптимизируемого потока является полуфабрикатом (без НДС)</t>
  </si>
  <si>
    <t>Продукция передела (оптимизируемого потока) является серийной?</t>
  </si>
  <si>
    <t>Если продукция серийная - ответ "да", если уникальная (позаказное производство) - ответ "нет"</t>
  </si>
  <si>
    <t>Переменные затраты полуфабрикаты серийные</t>
  </si>
  <si>
    <t>Переменные затраты на производство единицы полуфабриката (без НДС)</t>
  </si>
  <si>
    <t>Время цикла узкого места оптимизируемого потока</t>
  </si>
  <si>
    <t>Тцикл</t>
  </si>
  <si>
    <t>минуты</t>
  </si>
  <si>
    <t>Объем производства полуфабриката за год</t>
  </si>
  <si>
    <t>ед.прод.</t>
  </si>
  <si>
    <t/>
  </si>
  <si>
    <t>Основной производственный персонал находится на сдельной системе оплаты труда?</t>
  </si>
  <si>
    <t>В рамках проекта была снижена трудоемкость?</t>
  </si>
  <si>
    <t>В рамках проекта была изменена тарифная ставка оплаты труда?</t>
  </si>
  <si>
    <t>Трудоемкость</t>
  </si>
  <si>
    <t>Тр</t>
  </si>
  <si>
    <t>нормо-час</t>
  </si>
  <si>
    <t>Если на предприятии используется выработка, а не трудоемкость, нужно указать следующие значения:
Трудоемкость = 1
Тарифная ставка указывается в рублях на единицу полуфабриката</t>
  </si>
  <si>
    <t>Тарифная ставка рабочего, осуществляющего операцию 
в проекте</t>
  </si>
  <si>
    <t>Стар</t>
  </si>
  <si>
    <t>руб./нормо-час</t>
  </si>
  <si>
    <t>Ставка "после проекта" может отличаться от ставки "до проекта" только в результате действий РП по значительному снижению трудоемкости, что привело еще и к снижению ставки. Требует обоснования.</t>
  </si>
  <si>
    <t>В рамках проекта проведена работа по снижению затрат сырья?</t>
  </si>
  <si>
    <t>Был ли переход на альтернативное сырье?</t>
  </si>
  <si>
    <t>Норма расхода сырья на 1 единицу полуфабриката в проекте</t>
  </si>
  <si>
    <t>Мр</t>
  </si>
  <si>
    <t>ед.изм.</t>
  </si>
  <si>
    <t>Указывается норма расхода сырья, по которому было снижение.
При переходе на альтернатиное сырье на начало проекта укзывается норма расхода исходного сырья, на конец - итогового</t>
  </si>
  <si>
    <t>Цена 1 единицы сырья в проекте (без НДС)</t>
  </si>
  <si>
    <t>СТмр</t>
  </si>
  <si>
    <t>руб./ед.изм.</t>
  </si>
  <si>
    <t>Указывается цена сырья, по которому было снижение.
При переходе на альтернатиное сырье на начало проекта укзывается цена исходного сырья, на конец - итогового</t>
  </si>
  <si>
    <t>В рамках проекта были снижены затраты на энергоресурсы, нормируемые на единицу продукции (переменные затраты)?</t>
  </si>
  <si>
    <t>В рамках проекта были снижены переменные затраты на электроэнергию?</t>
  </si>
  <si>
    <t>Расход электроэнергии на производство 1 единицы полуфабриката</t>
  </si>
  <si>
    <t>Эр</t>
  </si>
  <si>
    <t>кВт</t>
  </si>
  <si>
    <t>Тариф на электроэнергию в проекте</t>
  </si>
  <si>
    <t>Тэр1</t>
  </si>
  <si>
    <t>руб./КвтЧ</t>
  </si>
  <si>
    <t>Для исключения ценового фактора эк.эффекты рассчитываем в ценах "до проекта". Цена после не требуется. В расчетах не участвует.</t>
  </si>
  <si>
    <t>В рамках проекта были снижены переменные затраты на воду?</t>
  </si>
  <si>
    <t>Расход воды на производство 1 единицы полуфабриката</t>
  </si>
  <si>
    <t>м3</t>
  </si>
  <si>
    <t>Тариф на воду в проекте</t>
  </si>
  <si>
    <t>руб./м3</t>
  </si>
  <si>
    <t>В рамках проекта были снижены переменные затраты на тепло?</t>
  </si>
  <si>
    <t>Расход тепла на производство 1 единицы полуфабриката</t>
  </si>
  <si>
    <t>Гкал</t>
  </si>
  <si>
    <t>Тариф на тепло в проекте</t>
  </si>
  <si>
    <t>руб./Гкал</t>
  </si>
  <si>
    <t>Переменные затраты полуфабрикаты позаказ</t>
  </si>
  <si>
    <t>Если на предприятии используется выработка, а не трудоемкость, нужно указать следующие значения:
Трудоемкость в потоке = 1
Тарифная ставка указывается в рублях на единицу полуфабриката</t>
  </si>
  <si>
    <t>Тарифная ставка рабочего, осуществляющего операцию в проекте</t>
  </si>
  <si>
    <t>Переменные затраты на оплату труда на производство полуфабрикатов для всех заказов в рублях за год</t>
  </si>
  <si>
    <t>Затраты на сырье на производство полуфабрикатов для заказа в рублях</t>
  </si>
  <si>
    <t>руб./заказ</t>
  </si>
  <si>
    <t>На текущий заказ</t>
  </si>
  <si>
    <t>Эффект от снижения затрат сырья можем экстраполировать на все заказы?</t>
  </si>
  <si>
    <t>Переменные затраты на сырье на производство полуфабрикатов для всех заказов в рублях за год</t>
  </si>
  <si>
    <t>На все заказы за год</t>
  </si>
  <si>
    <t>Затраты на энергоресурсы на производство полуфабрикатов для заказа в рублях</t>
  </si>
  <si>
    <t>Эффект от снижения затрат на энергоресурсы можем экстраполировать на все заказы?</t>
  </si>
  <si>
    <t>Переменные затраты на энергоресурсы на производство полуфабрикатов для всех заказов в рублях за год</t>
  </si>
  <si>
    <t>Концевой цех</t>
  </si>
  <si>
    <t>На оптимизируемом потоке вся ГП серийная?</t>
  </si>
  <si>
    <t>Объем производства и реализации</t>
  </si>
  <si>
    <t>Превышает ли спрос на старте проекта возможности производства или существует перспектива роста спроса при увеличении объема производства?</t>
  </si>
  <si>
    <t>Изменилась ли цена на продукцию в результате реализации проекта или выручка за счет изменения сортности продукта?</t>
  </si>
  <si>
    <t>Увеличился ли вес продукта более высокой категории качества (по более высокой цене)</t>
  </si>
  <si>
    <t>На оптимизируемом потоке производится один продукт?</t>
  </si>
  <si>
    <t>Вес объема реализации основного продукта в общем объеме реализации потока (в ед.прод.)</t>
  </si>
  <si>
    <t>В</t>
  </si>
  <si>
    <t>Вес указывается для продукта в потоке. При монопродуктовом потоке вес будет 100%.</t>
  </si>
  <si>
    <t>Единица измерения ГП</t>
  </si>
  <si>
    <t>Указать единицы измерения ГП</t>
  </si>
  <si>
    <t>Необходимое время такта для удовлетворения спроса</t>
  </si>
  <si>
    <t>Тнеобх.такт</t>
  </si>
  <si>
    <t>Показатель расчитывается как доступное время, деленное на объем спроса.</t>
  </si>
  <si>
    <t>Доступное рабочее время за год можно представить как произведение смен в сутки на количество рабочих дней?</t>
  </si>
  <si>
    <t>Если производственный персонал работает сверхурочно, ответ "нет"</t>
  </si>
  <si>
    <t>Фактическое время производства годной продукции (минут в год)</t>
  </si>
  <si>
    <t>Варианты расчета:
1. Доступное время * ОЕЕ;
2. Фактическое время производства продукции * Коэффициент выхода годной продукции</t>
  </si>
  <si>
    <t>Количество рабочих смен в сутки</t>
  </si>
  <si>
    <t>Кс</t>
  </si>
  <si>
    <t>штуки</t>
  </si>
  <si>
    <t>Количество рабочих часов в смене</t>
  </si>
  <si>
    <t>Крчс</t>
  </si>
  <si>
    <t>часы</t>
  </si>
  <si>
    <t>Количество рабочих дней в году</t>
  </si>
  <si>
    <t>Крдн</t>
  </si>
  <si>
    <t>дни</t>
  </si>
  <si>
    <t>Годовой фонд рабочего времени (расчет)</t>
  </si>
  <si>
    <t>Объем реализации (расчет)</t>
  </si>
  <si>
    <t>Объем производства (расчет)</t>
  </si>
  <si>
    <t>Объем реализации продукции в проекте за год</t>
  </si>
  <si>
    <t>Объем производства продукции в проекте за год</t>
  </si>
  <si>
    <t>Цены ГП и Переменные затраты</t>
  </si>
  <si>
    <t>Цена 1 единицы готовой продукции в проекте (без НДС)</t>
  </si>
  <si>
    <t>Ц</t>
  </si>
  <si>
    <t>Переменные затраты (переменная себестоимость) на 1 единицу готовой продукции в проекте (без НДС)</t>
  </si>
  <si>
    <t>Норма расхода сырья на 1 единицу готовой продукции в проекте</t>
  </si>
  <si>
    <t>Указывается норма расхода сырья, по которому было снижение.
При перехоле на альтернатиное сырье на начало проекта укзывается норма расхода исходного сырья, на конец - итогового</t>
  </si>
  <si>
    <t>Указывается цена сырья, по которому было снижение.
При перехоле на альтернатиное сырье на начало проекта укзывается цена исходного сырья, на конец - итогового</t>
  </si>
  <si>
    <t>Расход электроэнергии на производство 1 единицы готовой продукции</t>
  </si>
  <si>
    <t>Расход воды на производство 1 единицы готовой продукции</t>
  </si>
  <si>
    <t>Расход тепла на производство 1 единицы готовой продукции</t>
  </si>
  <si>
    <t>Если на предприятии используется выработка, а не трудоемкость, нужно указать следующие значения:
Трудоемкость в потоке = 1
Тарифная ставка указывается в рублях на единицу продукции</t>
  </si>
  <si>
    <t>Объем производства и реализации - В2</t>
  </si>
  <si>
    <t>Расшивка узкого места повлияла на остальные продукты?</t>
  </si>
  <si>
    <t>Процент роста объема реализации доп.продуктов (экспертная оценка РП и предприятия)</t>
  </si>
  <si>
    <t>Выручка за год по всем продуктам</t>
  </si>
  <si>
    <t>Переменные затраты за год по всем продуктам</t>
  </si>
  <si>
    <t>Объем производства и реализации - В3</t>
  </si>
  <si>
    <t>Спрос превышает возможности производства?</t>
  </si>
  <si>
    <t xml:space="preserve">Количество рабочих смен </t>
  </si>
  <si>
    <t>Выручка по потоку за год (без НДС)</t>
  </si>
  <si>
    <t>Переменные затраты по потоку за год (без НДС)</t>
  </si>
  <si>
    <t>Цены ГП и Переменные затраты - В3</t>
  </si>
  <si>
    <t>В рамках проекта были снижены переменные затраты?</t>
  </si>
  <si>
    <t>Переменные затраты на оплату труда на все заказы в рублях за год</t>
  </si>
  <si>
    <t>Затраты на сырье на текущий заказ в рублях</t>
  </si>
  <si>
    <t>Переменные затраты на сырье на все заказы в рублях за год</t>
  </si>
  <si>
    <t>Затраты на энергоресурсы на текущий заказ в рублях</t>
  </si>
  <si>
    <t>Переменные затраты на энергоресурсы на все заказы в рублях за год</t>
  </si>
  <si>
    <t>Постоянные затраты</t>
  </si>
  <si>
    <t>В рамках проекта была оптимизация персонала на окладе?</t>
  </si>
  <si>
    <t>Количество сотрудников на окладе в проекте</t>
  </si>
  <si>
    <t>П</t>
  </si>
  <si>
    <t>человек</t>
  </si>
  <si>
    <t>Среднемесячная заработная плата работника на окладе в проекте</t>
  </si>
  <si>
    <t>ЗП</t>
  </si>
  <si>
    <t>В рамках проекта были сокращены затраты на энергоресурсы, ненормированные на единицу продукции (постоянные затраты)?</t>
  </si>
  <si>
    <t>В рамках проекта были сокращены постоянные затраты на электроэнергию?</t>
  </si>
  <si>
    <t xml:space="preserve">Объем фактически потребленной электроэнергии </t>
  </si>
  <si>
    <t>Окус1</t>
  </si>
  <si>
    <t>В рамках проекта были сокращены постоянные затраты на водоснабжение и водоотведение?</t>
  </si>
  <si>
    <t>Объем фактически потребленной воды</t>
  </si>
  <si>
    <t>Окус2</t>
  </si>
  <si>
    <t>Тэр2</t>
  </si>
  <si>
    <t>Окус3</t>
  </si>
  <si>
    <t>Тэр3</t>
  </si>
  <si>
    <t>В рамках проекта были сокращены постоянные затраты на потребление тепла?</t>
  </si>
  <si>
    <t>Объем фактически потребленного тепла</t>
  </si>
  <si>
    <t>Окус4</t>
  </si>
  <si>
    <t>Тэр4</t>
  </si>
  <si>
    <t>В рамках проекта были изменены затраты на ремонт?</t>
  </si>
  <si>
    <t>Учитываются затраты на ремонт (оборудование, помещения, инструмент и т.д., задействованные в рамках проекта)</t>
  </si>
  <si>
    <t xml:space="preserve">Затраты на текущий ремонт и обслуживание оборудования в проекте </t>
  </si>
  <si>
    <t>Ср</t>
  </si>
  <si>
    <t>Прочие доходы и расходы</t>
  </si>
  <si>
    <t>В рамках проекта было высвобождение площадей?</t>
  </si>
  <si>
    <t>Высвобожденная площадь</t>
  </si>
  <si>
    <t>Пл</t>
  </si>
  <si>
    <t>м2</t>
  </si>
  <si>
    <t>Была ли получена финансовая отдача от высвобождения площадей?</t>
  </si>
  <si>
    <t>Средняя годовая арендная ставка на подобные помещения в регионе</t>
  </si>
  <si>
    <t>СТпл</t>
  </si>
  <si>
    <t>руб./м2</t>
  </si>
  <si>
    <t>Потенциальный эффект</t>
  </si>
  <si>
    <t>Арендная ставка, по которой сдали или перестали снимать помещения</t>
  </si>
  <si>
    <t>Реальный эффект</t>
  </si>
  <si>
    <t>В рамках проекта был снижен уровень неисправимого брака?</t>
  </si>
  <si>
    <t>Процент бракованной продукции в потоке (неисправимый брак)</t>
  </si>
  <si>
    <t>Б</t>
  </si>
  <si>
    <t>Указывается процент только по неисправимому браку, т.к. снижение исправимого брака отражается в снижении норм потребления энергоресурсов и трудоемкости</t>
  </si>
  <si>
    <t>Суммарные переменные затраты на производство полуфабрикатов для всех заказов за год</t>
  </si>
  <si>
    <t>Рабочий капитал</t>
  </si>
  <si>
    <t>Кдп</t>
  </si>
  <si>
    <t>СТнзп</t>
  </si>
  <si>
    <t>В рамках проекта были сокращены запасы сырья и материалов?</t>
  </si>
  <si>
    <t>Возможно оценить запасы сырья и материалов через количество?</t>
  </si>
  <si>
    <t>Если на складах более одной номенклатуры сырья и материалов, нужно отвечать "нет"</t>
  </si>
  <si>
    <t xml:space="preserve">Количество сырья и материалов на складах </t>
  </si>
  <si>
    <t>Ксим</t>
  </si>
  <si>
    <t>шт.</t>
  </si>
  <si>
    <t xml:space="preserve">Стоимость 1 единицы сырья на складе </t>
  </si>
  <si>
    <t>руб./шт.</t>
  </si>
  <si>
    <t>Запасы сырья и материалов в рублевом эквиваленте</t>
  </si>
  <si>
    <t>В рамках проекта были сокращены запасы ГП на складах?</t>
  </si>
  <si>
    <t>Не применимо для сезонного спроса</t>
  </si>
  <si>
    <t xml:space="preserve">Количество готовой продукции на складах </t>
  </si>
  <si>
    <t>ГП</t>
  </si>
  <si>
    <t>Запасы готовой продукции в рублевом эквиваленте</t>
  </si>
  <si>
    <t>Ключевая ставка Банка России</t>
  </si>
  <si>
    <t>КС</t>
  </si>
  <si>
    <t>Ключевая ставка здесь</t>
  </si>
  <si>
    <t>Доп.эффект</t>
  </si>
  <si>
    <t>Есть ли другие эффекты, не перечисленные выше и имеющие обоснование?</t>
  </si>
  <si>
    <t>Если в результате проекта появились дополнительные расходы, не отраженные выше, нужно ответить "да"</t>
  </si>
  <si>
    <t>Эффект реальный?</t>
  </si>
  <si>
    <t>Дополнительный эффект</t>
  </si>
  <si>
    <t>Зпроч</t>
  </si>
  <si>
    <t>руб.</t>
  </si>
  <si>
    <t>Вносится сразу экономический эффект в рублях. Требует обоснования (комментарий пишется в этой ячейке).
В пункт также вносятся дополнительные расходы (со знаком минус), возникшие в результате проекта и не отраженные выше.</t>
  </si>
  <si>
    <t>Ставка НДС на готовую продукцию</t>
  </si>
  <si>
    <t>Цели по Экономическому эффекту (ЭЭ):</t>
  </si>
  <si>
    <t>Влияние проекта на налоговые отчисления на горизонте трёх лет</t>
  </si>
  <si>
    <r>
      <rPr>
        <b/>
        <sz val="12"/>
        <rFont val="Times New Roman"/>
        <family val="1"/>
        <charset val="204"/>
      </rPr>
      <t>·</t>
    </r>
    <r>
      <rPr>
        <sz val="12"/>
        <rFont val="Times New Roman"/>
        <family val="1"/>
        <charset val="204"/>
      </rPr>
      <t xml:space="preserve"> Налоговые отчисления за три года - </t>
    </r>
    <r>
      <rPr>
        <b/>
        <sz val="12"/>
        <rFont val="Times New Roman"/>
        <family val="1"/>
        <charset val="204"/>
      </rPr>
      <t>6 млн.руб.</t>
    </r>
  </si>
  <si>
    <t>Реальный экономический эффект</t>
  </si>
  <si>
    <r>
      <rPr>
        <b/>
        <sz val="12"/>
        <rFont val="Times New Roman"/>
        <family val="1"/>
        <charset val="204"/>
      </rPr>
      <t xml:space="preserve">· </t>
    </r>
    <r>
      <rPr>
        <sz val="12"/>
        <rFont val="Times New Roman"/>
        <family val="1"/>
        <charset val="204"/>
      </rPr>
      <t xml:space="preserve">Реальный ЭЭ - </t>
    </r>
    <r>
      <rPr>
        <b/>
        <sz val="12"/>
        <rFont val="Times New Roman"/>
        <family val="1"/>
        <charset val="204"/>
      </rPr>
      <t>10 млн.руб.</t>
    </r>
  </si>
  <si>
    <t>Потенциальный экономический эффект</t>
  </si>
  <si>
    <t>Высвобождение денежных средств</t>
  </si>
  <si>
    <t>Предприятие с размером эффекта согласно</t>
  </si>
  <si>
    <t>__________________ /_______________/</t>
  </si>
  <si>
    <t>Федеральный центр компетенций обязуется обрабатывать представленную информацию в режиме коммерческой тайны в соответствии с условиями подписанного Сторонами Соглашения о конфиденциальности и неразглашении информации (коммерческая тайна), которое является Приложением №3 к Соглашению о сотрудничестве</t>
  </si>
  <si>
    <t xml:space="preserve">                                              М.П.</t>
  </si>
  <si>
    <t>«___» ___________ 20___ г.</t>
  </si>
  <si>
    <t>Условные обозначения</t>
  </si>
  <si>
    <t>Ячейки с данными из чек-листа</t>
  </si>
  <si>
    <t>Экономический эффект (ЭЭ)</t>
  </si>
  <si>
    <t>Код</t>
  </si>
  <si>
    <t>Показатели</t>
  </si>
  <si>
    <t>Ед.изм.</t>
  </si>
  <si>
    <t>Значение показателя</t>
  </si>
  <si>
    <t>До проекта</t>
  </si>
  <si>
    <t>После проекта</t>
  </si>
  <si>
    <t>Экономический эффект</t>
  </si>
  <si>
    <t>ОП - РК</t>
  </si>
  <si>
    <t>Реальный ЭЭ (Операционная прибыль + % от Изменения РК)</t>
  </si>
  <si>
    <t>Потенциальный ЭЭ</t>
  </si>
  <si>
    <t>Высвобождение денежных средств (Изменение РК)</t>
  </si>
  <si>
    <t>МП</t>
  </si>
  <si>
    <t>МАРЖИНАЛЬНАЯ ПРИБЫЛЬ</t>
  </si>
  <si>
    <t>Потенциальный эффект от увеличения производственных мощностей</t>
  </si>
  <si>
    <t>МП1</t>
  </si>
  <si>
    <t>Выручка</t>
  </si>
  <si>
    <t>МП2</t>
  </si>
  <si>
    <t>Переменные расходы на весь объем реализации</t>
  </si>
  <si>
    <t>МАРЖИНАЛЬНАЯ ПРИБЫЛЬ (передел, серия)</t>
  </si>
  <si>
    <t>Объемы</t>
  </si>
  <si>
    <t>Нормы</t>
  </si>
  <si>
    <t>Выручка от реализации ГП</t>
  </si>
  <si>
    <t>Переменные расходы на весь объем реализации ГП</t>
  </si>
  <si>
    <t>СиМ</t>
  </si>
  <si>
    <t>Процент роста объема реализации ГП по результатм проекта (экспертаная оценка предприятия)</t>
  </si>
  <si>
    <t>ФОТ</t>
  </si>
  <si>
    <t>ТЭР</t>
  </si>
  <si>
    <t>Процент роста объема производства полуфабрикатов в результате проекта</t>
  </si>
  <si>
    <t>Изменение удельных переменных ГП</t>
  </si>
  <si>
    <t>Переменные расходы на объем полуфабрикатов до проекта</t>
  </si>
  <si>
    <t>Переменные расходы на единицу продукции передела</t>
  </si>
  <si>
    <t>руб./ед.прод.</t>
  </si>
  <si>
    <t>Сырье и материалы</t>
  </si>
  <si>
    <t>Норма потребления</t>
  </si>
  <si>
    <t>ед.сырья/ед.прод.</t>
  </si>
  <si>
    <t>Цена</t>
  </si>
  <si>
    <t>руб./ед.сырья</t>
  </si>
  <si>
    <t>ФОТ и социальные отчисления</t>
  </si>
  <si>
    <t>нормо-час/ед.прод.</t>
  </si>
  <si>
    <t>Ставка оплаты</t>
  </si>
  <si>
    <t>Социальные отчисления</t>
  </si>
  <si>
    <t>Электроэнергия</t>
  </si>
  <si>
    <t>кВт/ед.прод.</t>
  </si>
  <si>
    <t>Тариф</t>
  </si>
  <si>
    <t>Вода</t>
  </si>
  <si>
    <t>м3/ед.прод.</t>
  </si>
  <si>
    <t>Газ</t>
  </si>
  <si>
    <t>Теплоэнергия</t>
  </si>
  <si>
    <t>Гкал/ед.прод.</t>
  </si>
  <si>
    <t>МАРЖИНАЛЬНАЯ ПРИБЫЛЬ (передел, заказ)</t>
  </si>
  <si>
    <t>Выручка от реализации заказов</t>
  </si>
  <si>
    <t>Переменные расходы на весь объем реализации заказов</t>
  </si>
  <si>
    <t>Процент роста объема реализации заказов по результатм проекта (экспертаная оценка предприятия)</t>
  </si>
  <si>
    <t>Процент роста возможностей производства полуфабрикатов</t>
  </si>
  <si>
    <t>Расчетные переменные расходы на весь объем полуфабрикатов (для определения дельты)</t>
  </si>
  <si>
    <t>Изменение удельных переменных затрат на ПФ</t>
  </si>
  <si>
    <t>Сырье и материалы на полуфабикаты для всех заказов</t>
  </si>
  <si>
    <t>Сырье и материалы на полуфабикаты для текущего заказа</t>
  </si>
  <si>
    <t>руб./ед.пф</t>
  </si>
  <si>
    <t>Изменение затрат на сырье на ед. полуфабриката</t>
  </si>
  <si>
    <t>Затраты на сырье на все заказы в рублях за год</t>
  </si>
  <si>
    <t>ФОТ и социальные отчисления на полуфабикаты для всех заказов</t>
  </si>
  <si>
    <t>ФОТ и социальные отчисления на полуфабикаты для текущего заказа</t>
  </si>
  <si>
    <t>нормо-час/ед.пф</t>
  </si>
  <si>
    <t>Изменение удельных переменных затрат на оплату труда</t>
  </si>
  <si>
    <t>Энергоресурсы на полуфабикаты для всех заказов</t>
  </si>
  <si>
    <t>Энергоресурсы на полуфабикаты для текущего заказа</t>
  </si>
  <si>
    <t>Изменение затрат на энергоресурсы на ед. полуфабриката</t>
  </si>
  <si>
    <t>Затраты на энергоресурсы на все заказы в рублях за год</t>
  </si>
  <si>
    <t>Суммарные переменные затраты на производство полуфабрикатов для всех заказов за год (для расчета брака)</t>
  </si>
  <si>
    <t>МАРЖИНАЛЬНАЯ ПРИБЫЛЬ (серия, конечный передел)</t>
  </si>
  <si>
    <t>МП1.1</t>
  </si>
  <si>
    <t>Объем реализации для расчета ЭЭ</t>
  </si>
  <si>
    <t>МП1.1.1</t>
  </si>
  <si>
    <t>Объем производства</t>
  </si>
  <si>
    <t>МП1.1.2</t>
  </si>
  <si>
    <t>Изменение остатка готовой продукции</t>
  </si>
  <si>
    <t>Цена ГП</t>
  </si>
  <si>
    <t>Объем реализации полный</t>
  </si>
  <si>
    <t>Объем продукции для расчета потенциального эффекта</t>
  </si>
  <si>
    <t>МП1.2</t>
  </si>
  <si>
    <t>Цена реализации</t>
  </si>
  <si>
    <t>МП2.0</t>
  </si>
  <si>
    <t>Переменные расходы</t>
  </si>
  <si>
    <t>МП2.1</t>
  </si>
  <si>
    <t>МП2.1.1</t>
  </si>
  <si>
    <t>МП2.1.2</t>
  </si>
  <si>
    <t>МП2.2</t>
  </si>
  <si>
    <t>МП2.2.1</t>
  </si>
  <si>
    <t>МП2.2.2</t>
  </si>
  <si>
    <t>МП2.2.3</t>
  </si>
  <si>
    <t>МП2.3</t>
  </si>
  <si>
    <t>Энергетика</t>
  </si>
  <si>
    <t>МП2.3.1</t>
  </si>
  <si>
    <t>МП2.3.1.1</t>
  </si>
  <si>
    <t>Потребление электроэнергии</t>
  </si>
  <si>
    <t>кВтч/ед.прод.</t>
  </si>
  <si>
    <t>МП2.3.1.2</t>
  </si>
  <si>
    <t>Цена электроэнергии</t>
  </si>
  <si>
    <t>Руб/кВтч</t>
  </si>
  <si>
    <t>МП2.3.2</t>
  </si>
  <si>
    <t>МП2.3.2.1</t>
  </si>
  <si>
    <t>МП2.3.2.2</t>
  </si>
  <si>
    <t>МП2.3.3</t>
  </si>
  <si>
    <t>МП2.3.3.1</t>
  </si>
  <si>
    <t>МП2.3.3.2</t>
  </si>
  <si>
    <t>МП2.3.4</t>
  </si>
  <si>
    <t>МП2.3.4.1</t>
  </si>
  <si>
    <t>МП2.3.4.2</t>
  </si>
  <si>
    <t>МАРЖИНАЛЬНАЯ ПРИБЫЛЬ (оценка доп.продуктов)</t>
  </si>
  <si>
    <t>Выручка от доп.продуктов</t>
  </si>
  <si>
    <t>Общая выручка</t>
  </si>
  <si>
    <t>Процент роста возможностей реализации</t>
  </si>
  <si>
    <t>Переменные расходы на доп.продукты на весь объем реализации</t>
  </si>
  <si>
    <t>Вес основного продукта в портфеле</t>
  </si>
  <si>
    <t>МАРЖИНАЛЬНАЯ ПРИБЫЛЬ (позаказное производство)</t>
  </si>
  <si>
    <t>Годовой фонд рабочего времени</t>
  </si>
  <si>
    <t>Рост объема реализации - реальный эффект</t>
  </si>
  <si>
    <t>Рост объема производства - потенциальный эффект</t>
  </si>
  <si>
    <t>реальн.эф-т</t>
  </si>
  <si>
    <t>Переменные расходы на возможный объем производства</t>
  </si>
  <si>
    <t>потенц.эф-т</t>
  </si>
  <si>
    <t>Расчетные переменные расходы на весь объем реализации до проекта</t>
  </si>
  <si>
    <t>Изменение удельных переменных</t>
  </si>
  <si>
    <t>Сырье и материалы на все заказы</t>
  </si>
  <si>
    <t>Сырье и материалы для текущего заказа</t>
  </si>
  <si>
    <t>ФОТ и социальные отчисления на все заказы</t>
  </si>
  <si>
    <t>ФОТ и социальные отчисления для текущего заказа</t>
  </si>
  <si>
    <t>нормо-час/заказ</t>
  </si>
  <si>
    <t>Энергоресурсы на полуфабикаты на все заказы</t>
  </si>
  <si>
    <t>Энергоресурсы для текущего заказа</t>
  </si>
  <si>
    <t>ПР</t>
  </si>
  <si>
    <t>ПОСТОЯННЫЕ РАСХОДЫ</t>
  </si>
  <si>
    <t>ПР1.2</t>
  </si>
  <si>
    <t>Ремонт производственного оборудования и зданий</t>
  </si>
  <si>
    <t>ПР1.3</t>
  </si>
  <si>
    <t>ФОТ и соцотчисления ИТР и ВПР</t>
  </si>
  <si>
    <t>ПР1.3.1</t>
  </si>
  <si>
    <t>Количество сотрудников</t>
  </si>
  <si>
    <t>чел.</t>
  </si>
  <si>
    <t>ПР1.3.2</t>
  </si>
  <si>
    <t>Ставка оплаты за год</t>
  </si>
  <si>
    <t>руб./год</t>
  </si>
  <si>
    <t>ПР1.3.3</t>
  </si>
  <si>
    <t>ПР3</t>
  </si>
  <si>
    <t>Коммунальные расходы</t>
  </si>
  <si>
    <t>ПР3.1</t>
  </si>
  <si>
    <t>ПР3.1.1</t>
  </si>
  <si>
    <t>Объем потребления</t>
  </si>
  <si>
    <t>ПР3.1.2</t>
  </si>
  <si>
    <t>руб./кВт</t>
  </si>
  <si>
    <t>ПР3.2</t>
  </si>
  <si>
    <t>ПР3.2.1</t>
  </si>
  <si>
    <t>ПР3.2.2</t>
  </si>
  <si>
    <t xml:space="preserve"> руб./м3</t>
  </si>
  <si>
    <t>ПР3.3</t>
  </si>
  <si>
    <t>ПР3.3.1</t>
  </si>
  <si>
    <t>ПР3.3.2</t>
  </si>
  <si>
    <t>ПР3.4</t>
  </si>
  <si>
    <t>Тепло</t>
  </si>
  <si>
    <t>ПР3.4.1</t>
  </si>
  <si>
    <t>ПР3.4.2</t>
  </si>
  <si>
    <t>ПДР</t>
  </si>
  <si>
    <t>ПРОЧИЕ ДОХОДЫ И РАСХОДЫ</t>
  </si>
  <si>
    <t>ПДР2</t>
  </si>
  <si>
    <t>Доходы от сдачи помещений в аренду</t>
  </si>
  <si>
    <t>ПДР2.1</t>
  </si>
  <si>
    <t>Площадь помещений</t>
  </si>
  <si>
    <t>кв.м</t>
  </si>
  <si>
    <t>ПДР2.2</t>
  </si>
  <si>
    <t>Ставка аренды - реальный эффект</t>
  </si>
  <si>
    <t>Ставка аренды - потенциальный эффект</t>
  </si>
  <si>
    <t>ПДР3</t>
  </si>
  <si>
    <r>
      <t xml:space="preserve">Расходы на брак </t>
    </r>
    <r>
      <rPr>
        <sz val="11"/>
        <color theme="1" tint="0.499984740745262"/>
        <rFont val="Calibri"/>
        <family val="2"/>
        <charset val="204"/>
        <scheme val="minor"/>
      </rPr>
      <t>(сокращение объема брака на общий объем переменных затрат потока после проекта)</t>
    </r>
  </si>
  <si>
    <t>ПДР3.2.1</t>
  </si>
  <si>
    <t>Доля брака в объеме производства</t>
  </si>
  <si>
    <t>ПР2.3</t>
  </si>
  <si>
    <t>Прочие эффекты - реальный эффект</t>
  </si>
  <si>
    <t>ПР2.4</t>
  </si>
  <si>
    <t>Прочие эффекты - потенциальный эффект</t>
  </si>
  <si>
    <t>РК</t>
  </si>
  <si>
    <t>ИЗМЕНЕНИЕ РАБОЧЕГО КАПИТАЛА</t>
  </si>
  <si>
    <t>Эффект от изменения запасов (через ключевую ставку)</t>
  </si>
  <si>
    <t>РК1</t>
  </si>
  <si>
    <t>Остаток на начало / конец периода</t>
  </si>
  <si>
    <t>РК1.1</t>
  </si>
  <si>
    <t>Дебиторская задолженность</t>
  </si>
  <si>
    <t>РК1.2</t>
  </si>
  <si>
    <t>Кредиторская задолженность</t>
  </si>
  <si>
    <t>РК1.3</t>
  </si>
  <si>
    <t>Запасы сырья и материалов</t>
  </si>
  <si>
    <t>РК1.3.1</t>
  </si>
  <si>
    <t>Объем запасов сырья и материалов</t>
  </si>
  <si>
    <t>нат.ед.</t>
  </si>
  <si>
    <t>РК1.3.2</t>
  </si>
  <si>
    <t>Цена запасов сырья и материалов</t>
  </si>
  <si>
    <t>РК1.4</t>
  </si>
  <si>
    <t>Запасы готовой продукции</t>
  </si>
  <si>
    <t>РК1.4.1</t>
  </si>
  <si>
    <t>Объем запасов готовой продукции</t>
  </si>
  <si>
    <t>РК1.4.2</t>
  </si>
  <si>
    <t>Цена запасов готовой продукции</t>
  </si>
  <si>
    <t>РК1.5</t>
  </si>
  <si>
    <t>Запасы незавершенного производства</t>
  </si>
  <si>
    <t>РК1.5.1</t>
  </si>
  <si>
    <t>Объем запасов незавершенного производства</t>
  </si>
  <si>
    <t>РК1.5.2</t>
  </si>
  <si>
    <t>Цена запасов незавершенного производства</t>
  </si>
  <si>
    <t>Факторы влияния на экономический эффект</t>
  </si>
  <si>
    <t>Выработка</t>
  </si>
  <si>
    <t>Себестоимость</t>
  </si>
  <si>
    <t>Брак</t>
  </si>
  <si>
    <t>Прочее</t>
  </si>
  <si>
    <t>Итого</t>
  </si>
  <si>
    <t>Факторы влияния на переменную себестоимость</t>
  </si>
  <si>
    <t>Сдельный ФОТ и социальные отчисления</t>
  </si>
  <si>
    <t>Факторы влияния на постоянную себестоимость</t>
  </si>
  <si>
    <t>Повременный ФОТ и социальные отчисления</t>
  </si>
  <si>
    <t>Прочие факторы влияния на экономический эффект</t>
  </si>
  <si>
    <t>Аренда помещений</t>
  </si>
  <si>
    <t>Изменение цены или сортности ГП</t>
  </si>
  <si>
    <t>Прочие факторы</t>
  </si>
  <si>
    <t>Приложение №2</t>
  </si>
  <si>
    <t xml:space="preserve">Вводные: </t>
  </si>
  <si>
    <t>1. Объем реализации до = Объем производства до</t>
  </si>
  <si>
    <t>Директор УП</t>
  </si>
  <si>
    <t>Директор по управлению персоналом</t>
  </si>
  <si>
    <t>2. Объем реализции имеет потенциал к увеличению, т.к. спрос превосходит возможности производства</t>
  </si>
  <si>
    <t>Начальник ПЭО</t>
  </si>
  <si>
    <t>Начальник До проектаово-экономической службы</t>
  </si>
  <si>
    <t>1. Если спрос превышает возможности объема производства, то объем реализации равен объему производства, потенциального эффекта нет</t>
  </si>
  <si>
    <t>Начальник ОС</t>
  </si>
  <si>
    <t>Начальник отдела снабжения</t>
  </si>
  <si>
    <t>Директор по производству</t>
  </si>
  <si>
    <t>Начальник ОТОиР</t>
  </si>
  <si>
    <t>Начальник отдела технического обслуживания и ремонтов</t>
  </si>
  <si>
    <t>2. Если возможности производства выше спроса, тогда увеличение Объема реализации - это прямой эффект, а разница между возможным объемом производства после и объемом реализации после - это потенциальный эффект</t>
  </si>
  <si>
    <t>Объем реализации</t>
  </si>
  <si>
    <t>=</t>
  </si>
  <si>
    <t>Эффект</t>
  </si>
  <si>
    <t>Начальник отдела продаж</t>
  </si>
  <si>
    <t>-</t>
  </si>
  <si>
    <t xml:space="preserve">  </t>
  </si>
  <si>
    <t>Директор по экономике</t>
  </si>
  <si>
    <t>Коммерческий директор</t>
  </si>
  <si>
    <t>х</t>
  </si>
  <si>
    <t>Главный технолог</t>
  </si>
  <si>
    <t>Начальник цеха</t>
  </si>
  <si>
    <t>Норматив</t>
  </si>
  <si>
    <t>Маржинальная прибыль</t>
  </si>
  <si>
    <t>Генеральный директор</t>
  </si>
  <si>
    <t>Главный инженер</t>
  </si>
  <si>
    <t>+</t>
  </si>
  <si>
    <t>Уд. Переменные расходы</t>
  </si>
  <si>
    <t>Главный бухгалтер</t>
  </si>
  <si>
    <t>КВт/ед.прод.</t>
  </si>
  <si>
    <t>руб./КВт</t>
  </si>
  <si>
    <t>Главный энергетик</t>
  </si>
  <si>
    <t>Ремонт произв. оборуд. и зданий</t>
  </si>
  <si>
    <t>Постоянные расходы</t>
  </si>
  <si>
    <t>ФОТ и соцотчисления</t>
  </si>
  <si>
    <t>Операционный денежный поток</t>
  </si>
  <si>
    <t>Ставка аренды</t>
  </si>
  <si>
    <t>руб./кв.м</t>
  </si>
  <si>
    <t>Прочие доходы/расходы</t>
  </si>
  <si>
    <t>Высвобождение Денежных средств</t>
  </si>
  <si>
    <t>ПДР3.2</t>
  </si>
  <si>
    <t>Расходы на брак, рекламации</t>
  </si>
  <si>
    <t>Брак в производстве</t>
  </si>
  <si>
    <t>Прочие эффекты</t>
  </si>
  <si>
    <t>Дебиторская задолженность (ДЗ)</t>
  </si>
  <si>
    <t>Кредиторская задолженность (КЗ)</t>
  </si>
  <si>
    <t>Изменение рабочего капитала</t>
  </si>
  <si>
    <t>Запасы сырья и материалов (СиМ)</t>
  </si>
  <si>
    <t>Объем запасов СиМ</t>
  </si>
  <si>
    <t>Цена запасов СиМ</t>
  </si>
  <si>
    <t>Запасы готовой продукции (ГП)</t>
  </si>
  <si>
    <t>Объем запасов ГП</t>
  </si>
  <si>
    <t>Цена запасов ГП</t>
  </si>
  <si>
    <t>Запасы незавершенного производства (НЗП)</t>
  </si>
  <si>
    <t>Объем запасов НЗП</t>
  </si>
  <si>
    <t>Цена запасов НЗП</t>
  </si>
  <si>
    <t>Ячейка, обязательная к заполнению</t>
  </si>
  <si>
    <t>Ячейка расчетная</t>
  </si>
  <si>
    <t>Ответить "да" на вопрос "В рамках проекта была оптимизация персонала на окладе?"</t>
  </si>
  <si>
    <t>Количество работников</t>
  </si>
  <si>
    <t>чел</t>
  </si>
  <si>
    <t>Численность по FTE (реально оплачиваемых штатных единиц работников) с учетом сверхурочных 
= Количество работников 
+ Количество часов переработки по ставке 1.5 / Средний фонд рабочего времени в год на человека х 1.5 
+ Количество часов переработки по ставке 2 / Средний фонд рабочего времени в год на человека х 2</t>
  </si>
  <si>
    <t>Количество урочных рабочих часов в день на работника</t>
  </si>
  <si>
    <t>час</t>
  </si>
  <si>
    <t>Количество рабочих дней в год на работника</t>
  </si>
  <si>
    <t>день</t>
  </si>
  <si>
    <t>Средний фонд рабочего времени в год на человека</t>
  </si>
  <si>
    <t>Количество сверхурочных часов в год по ставке 1.5</t>
  </si>
  <si>
    <t>FTE 1.5</t>
  </si>
  <si>
    <t>Количество сверхурочных часов в год по ставке 2</t>
  </si>
  <si>
    <t>FTE 2</t>
  </si>
  <si>
    <t>Численность по FTE с учетом сверхурочных</t>
  </si>
  <si>
    <t>Убрана возможность отражения отрицательного потенциального ЭЭ по объему</t>
  </si>
  <si>
    <t>Убран многопродуктовый поток</t>
  </si>
  <si>
    <t>Обновлена инструкция</t>
  </si>
  <si>
    <t>Брак только неисправимый</t>
  </si>
  <si>
    <t>ОЕЕ или коэф-т выхода годной</t>
  </si>
  <si>
    <t>Убрана возможность расчета доступного времени через смены и дни</t>
  </si>
  <si>
    <t>Расчет изменения трудоемкости через часы</t>
  </si>
  <si>
    <t>Добавлена возможность менять цену ГП после</t>
  </si>
  <si>
    <t>Вес в потоке</t>
  </si>
  <si>
    <t>Продукт 1</t>
  </si>
  <si>
    <t>Продукт 2</t>
  </si>
  <si>
    <t>Продукт 3</t>
  </si>
  <si>
    <t>Продукт 4</t>
  </si>
  <si>
    <t>Прочие</t>
  </si>
  <si>
    <t>Объем спроса</t>
  </si>
  <si>
    <t>списки</t>
  </si>
  <si>
    <t>да</t>
  </si>
  <si>
    <t>уникальные</t>
  </si>
  <si>
    <t>позаказное</t>
  </si>
  <si>
    <t>нет</t>
  </si>
  <si>
    <t>стандартные</t>
  </si>
  <si>
    <t>ширпотреб</t>
  </si>
  <si>
    <t>Пример расчета экономического эффекта</t>
  </si>
  <si>
    <t>Исходя из заполненного чек-листа рассчитывается каждый отдельный экономический эффект:</t>
  </si>
  <si>
    <r>
      <rPr>
        <b/>
        <sz val="14"/>
        <color theme="1"/>
        <rFont val="Times New Roman"/>
        <family val="1"/>
        <charset val="204"/>
      </rPr>
      <t xml:space="preserve">    1. 	Доход от роста объема производства.
</t>
    </r>
    <r>
      <rPr>
        <sz val="11"/>
        <color theme="1"/>
        <rFont val="Times New Roman"/>
        <family val="1"/>
        <charset val="204"/>
      </rPr>
      <t xml:space="preserve">Методический подход к оценке данного показателя рассматривает реальный и потенциальный эффект от роста объема производства. Реальный определяется исходя из фактически произведенной продукции, потенциальный отвечает на вопрос сколько можно дополнительно заработать при условии, что спрос удовлетворит все производственные возможности. </t>
    </r>
  </si>
  <si>
    <t xml:space="preserve">Потенциальный экономический эффект </t>
  </si>
  <si>
    <t xml:space="preserve">1.1 	Доступное время для производства товара/услуги (пункт 5.6.1.1.1.1.1 Методики). В нашем случае предприятие не пересматривало рабочий график, поэтому данный показатель на начало и на конец рассматриваемого периода принимает одинаковое значение:
</t>
  </si>
  <si>
    <t>1.5 Потенциальный объем выпускаемой продукции (пункт 6.5.4) рассчитывается по формуле:</t>
  </si>
  <si>
    <r>
      <t>Т</t>
    </r>
    <r>
      <rPr>
        <sz val="8"/>
        <color theme="1"/>
        <rFont val="Times New Roman"/>
        <family val="1"/>
        <charset val="204"/>
      </rPr>
      <t>1,2</t>
    </r>
    <r>
      <rPr>
        <sz val="11"/>
        <color theme="1"/>
        <rFont val="Times New Roman"/>
        <family val="1"/>
        <charset val="204"/>
      </rPr>
      <t>=3 смены * 8 часов * 247 дней * 60 минут = 355 680 минут</t>
    </r>
  </si>
  <si>
    <r>
      <t>ОВП</t>
    </r>
    <r>
      <rPr>
        <sz val="8"/>
        <color theme="1"/>
        <rFont val="Times New Roman"/>
        <family val="1"/>
        <charset val="204"/>
      </rPr>
      <t>2</t>
    </r>
    <r>
      <rPr>
        <sz val="11"/>
        <color theme="1"/>
        <rFont val="Times New Roman"/>
        <family val="1"/>
        <charset val="204"/>
      </rPr>
      <t>= 355 680 минут/ 60 минут= 5 928 единиц готовой продукции</t>
    </r>
  </si>
  <si>
    <t>1.2   	Объем реализации продукции (пункт 6.5 Методики). До проекта объем реализации ограничен возможностями производства. За время проекта наблюдается существенное изменение времени цикла узкого места с 85 до 60 минут, однако Спрос на продукцию меньше новых возможностей производства, поэтому объем реализации после проекта будет соответствовать спросу, Тнеобх.такт которого равен 65 минут:</t>
  </si>
  <si>
    <t>1.6 Потенциальный экономический эффект от увеличения объема производства товаров или услуг (пункт 5.7.4) строится на разнице между объемом реализации и возможным объемом производства. Т.к. возможности производства после проекта превышают спрос, потенциальный экономический эффект:</t>
  </si>
  <si>
    <r>
      <t>ОРП</t>
    </r>
    <r>
      <rPr>
        <sz val="8"/>
        <color theme="1"/>
        <rFont val="Times New Roman"/>
        <family val="1"/>
        <charset val="204"/>
      </rPr>
      <t>1</t>
    </r>
    <r>
      <rPr>
        <sz val="11"/>
        <color theme="1"/>
        <rFont val="Times New Roman"/>
        <family val="1"/>
        <charset val="204"/>
      </rPr>
      <t>=ОВП</t>
    </r>
    <r>
      <rPr>
        <sz val="8"/>
        <color theme="1"/>
        <rFont val="Times New Roman"/>
        <family val="1"/>
        <charset val="204"/>
      </rPr>
      <t>1</t>
    </r>
    <r>
      <rPr>
        <sz val="11"/>
        <color theme="1"/>
        <rFont val="Times New Roman"/>
        <family val="1"/>
        <charset val="204"/>
      </rPr>
      <t xml:space="preserve"> = 355 680 минут / 85 минут = 4 184,5 единиц готовой продукции</t>
    </r>
  </si>
  <si>
    <t>ЭЭоп(п)= (5 928 – 5 472) * 3 713 рублей = 1 693 128  рублей</t>
  </si>
  <si>
    <r>
      <t>ОРП</t>
    </r>
    <r>
      <rPr>
        <sz val="8"/>
        <color theme="1"/>
        <rFont val="Times New Roman"/>
        <family val="1"/>
        <charset val="204"/>
      </rPr>
      <t>2</t>
    </r>
    <r>
      <rPr>
        <sz val="11"/>
        <color theme="1"/>
        <rFont val="Times New Roman"/>
        <family val="1"/>
        <charset val="204"/>
      </rPr>
      <t>= ОС</t>
    </r>
    <r>
      <rPr>
        <sz val="8"/>
        <color theme="1"/>
        <rFont val="Times New Roman"/>
        <family val="1"/>
        <charset val="204"/>
      </rPr>
      <t>2</t>
    </r>
    <r>
      <rPr>
        <sz val="11"/>
        <color theme="1"/>
        <rFont val="Times New Roman"/>
        <family val="1"/>
        <charset val="204"/>
      </rPr>
      <t xml:space="preserve"> = 355 680 минут /65 минут = 5 472 единиц готовой продукции</t>
    </r>
  </si>
  <si>
    <t xml:space="preserve">1.3	  Маржинальная прибыль на 1 единицу продукции (пункт 6.5.3 Методики). Цена готовой продукции составляет 7000 рублей. В нашем случае показатель определяется исходя из стоимости и нормы потребления сырья и материалов, трудоемкости, средней ставки оплаты нормо-часа и социальных отчислений в фонды РФ  до начала проекта, а также удельных затрат электроэнергии на 1 единицу готовой продукции. </t>
  </si>
  <si>
    <t>М = 7 000 – (5 * 500 + 300 * 2 часа * 1,3 + 1,34 * 5,3) = 3 713 рублей</t>
  </si>
  <si>
    <r>
      <t>1.4   Уровень экономических эффектов от реального увеличения объема производства товаров или услуг (пункт 6.5 Методики) определяется маржинальной прибылью на единицу продукции и разностью объемов производства до начала проекта (ОВП</t>
    </r>
    <r>
      <rPr>
        <sz val="8"/>
        <color theme="1"/>
        <rFont val="Times New Roman"/>
        <family val="1"/>
        <charset val="204"/>
      </rPr>
      <t>1</t>
    </r>
    <r>
      <rPr>
        <sz val="11"/>
        <color theme="1"/>
        <rFont val="Times New Roman"/>
        <family val="1"/>
        <charset val="204"/>
      </rPr>
      <t>) и по его окончании (ОВП</t>
    </r>
    <r>
      <rPr>
        <sz val="8"/>
        <color theme="1"/>
        <rFont val="Times New Roman"/>
        <family val="1"/>
        <charset val="204"/>
      </rPr>
      <t>2</t>
    </r>
    <r>
      <rPr>
        <sz val="11"/>
        <color theme="1"/>
        <rFont val="Times New Roman"/>
        <family val="1"/>
        <charset val="204"/>
      </rPr>
      <t>). Экономический эффект принимает следующее значение:</t>
    </r>
  </si>
  <si>
    <t>ЭЭор= (5 472 – 4 184,5) * 3 713 рублей= 4 780 488 рублей</t>
  </si>
  <si>
    <r>
      <t>2.	      Экономия затрат 
2.1</t>
    </r>
    <r>
      <rPr>
        <sz val="14"/>
        <color theme="1"/>
        <rFont val="Times New Roman"/>
        <family val="1"/>
        <charset val="204"/>
      </rPr>
      <t xml:space="preserve">	</t>
    </r>
    <r>
      <rPr>
        <b/>
        <sz val="14"/>
        <color theme="1"/>
        <rFont val="Times New Roman"/>
        <family val="1"/>
        <charset val="204"/>
      </rPr>
      <t xml:space="preserve"> Экономия от снижения переменных затрат</t>
    </r>
    <r>
      <rPr>
        <b/>
        <sz val="11"/>
        <color theme="1"/>
        <rFont val="Times New Roman"/>
        <family val="1"/>
        <charset val="204"/>
      </rPr>
      <t xml:space="preserve"> </t>
    </r>
    <r>
      <rPr>
        <sz val="11"/>
        <color theme="1"/>
        <rFont val="Times New Roman"/>
        <family val="1"/>
        <charset val="204"/>
      </rPr>
      <t xml:space="preserve">(пункт 6.6 Методики) дает нам представление об оптимизации удельных расходов. К данному виду затрат относятся все сырье и материалы, а также сдельные затраты на фонд оплаты труда. Если предприятие может выделить затраты энергоресурсов на единицу продукции, в таком случае они тоже учитываются в переменных затратах. В противном случае затраты на энергоресурсы будут учитываться в постоянных затратах.  </t>
    </r>
  </si>
  <si>
    <r>
      <t>2.1.1 Экономический эффект от экономии материальных ресурсов на одну единицу продукции (пункт 6.6.1 Методики) определяться разницей между расходами материального ресурса до начала проекта Мр</t>
    </r>
    <r>
      <rPr>
        <sz val="8"/>
        <color theme="1"/>
        <rFont val="Times New Roman"/>
        <family val="1"/>
        <charset val="204"/>
      </rPr>
      <t>1</t>
    </r>
    <r>
      <rPr>
        <sz val="11"/>
        <color theme="1"/>
        <rFont val="Times New Roman"/>
        <family val="1"/>
        <charset val="204"/>
      </rPr>
      <t xml:space="preserve"> и по его окончании Мр</t>
    </r>
    <r>
      <rPr>
        <sz val="8"/>
        <color theme="1"/>
        <rFont val="Times New Roman"/>
        <family val="1"/>
        <charset val="204"/>
      </rPr>
      <t>2</t>
    </r>
    <r>
      <rPr>
        <sz val="11"/>
        <color theme="1"/>
        <rFont val="Times New Roman"/>
        <family val="1"/>
        <charset val="204"/>
      </rPr>
      <t>. Полученная разница умножается на цену сырья и материалов. При большой номенклатурной линейке сырья и материалов в расчет берутся средние значения. В представленном случае эффект от экономии будет следующим:</t>
    </r>
  </si>
  <si>
    <r>
      <t xml:space="preserve">2.1.6 Общий уровень переменных издержек (пункт 5.6 Методики) находится суммированием всех эффектов от снижения удельных расходов и умножением на разницу между (ОВП </t>
    </r>
    <r>
      <rPr>
        <sz val="8"/>
        <color theme="1"/>
        <rFont val="Times New Roman"/>
        <family val="1"/>
        <charset val="204"/>
      </rPr>
      <t>2</t>
    </r>
    <r>
      <rPr>
        <sz val="11"/>
        <color theme="1"/>
        <rFont val="Times New Roman"/>
        <family val="1"/>
        <charset val="204"/>
      </rPr>
      <t xml:space="preserve">  и ОРП</t>
    </r>
    <r>
      <rPr>
        <sz val="8"/>
        <color theme="1"/>
        <rFont val="Times New Roman"/>
        <family val="1"/>
        <charset val="204"/>
      </rPr>
      <t>2</t>
    </r>
    <r>
      <rPr>
        <sz val="11"/>
        <color theme="1"/>
        <rFont val="Times New Roman"/>
        <family val="1"/>
        <charset val="204"/>
      </rPr>
      <t>). Потенциальный  экономический эффект от снижения переменных издержек будет иметь следующее значения:</t>
    </r>
  </si>
  <si>
    <t>ЭЭмр= (5 - 4) * 500 рублей = 500 рублей.</t>
  </si>
  <si>
    <t>ЭЭзпот = (500 + 0,053 + 195) * (5 928 – 5 472) = 316 944 рублей.</t>
  </si>
  <si>
    <t>2.1.2 Экономический эффект от экономии коммунальных услуг на одну единицу продукции (пункт 6.6.2 Методики) рассчитывается по схожему принципу с расходами на сырье и материалы. Определяется разница удельных расходов на коммунальные расходы и умножается на соответствующий тариф. При наличии заполненных данных по нескольким коммунальным ресурсам значения суммируются. В нашем случае определены только значения 
по расходам на электроэнергию:</t>
  </si>
  <si>
    <t xml:space="preserve"> 2.1.7 Сумма потенциальных экономических эффектов по увеличению объемов реализации и снижению переменных затрат соответствует потенциальному эффекту от увеличения объема производства.</t>
  </si>
  <si>
    <t>ЭЭкр= (1,34 – 1,33) * 5,3 рублей = 0,053 рублей</t>
  </si>
  <si>
    <r>
      <t>2.1.3 Экономический эффект от экономии трудовых затрат на одну единицу продукции (пункт 6.6.3 Методики) определяется исходя из тарифной ставки рабочего Стар и разности трудоемкости в потоке (Тр</t>
    </r>
    <r>
      <rPr>
        <sz val="8"/>
        <color theme="1"/>
        <rFont val="Times New Roman"/>
        <family val="1"/>
        <charset val="204"/>
      </rPr>
      <t>1</t>
    </r>
    <r>
      <rPr>
        <sz val="11"/>
        <color theme="1"/>
        <rFont val="Times New Roman"/>
        <family val="1"/>
        <charset val="204"/>
      </rPr>
      <t>-Тр</t>
    </r>
    <r>
      <rPr>
        <sz val="8"/>
        <color theme="1"/>
        <rFont val="Times New Roman"/>
        <family val="1"/>
        <charset val="204"/>
      </rPr>
      <t>2</t>
    </r>
    <r>
      <rPr>
        <sz val="11"/>
        <color theme="1"/>
        <rFont val="Times New Roman"/>
        <family val="1"/>
        <charset val="204"/>
      </rPr>
      <t>). Также 
в расчете участвуют дополнительные затраты на социальные расходы СВ. 
На текущий момент для основной категории плательщиков взнос установлен на уровне 30%. В нашем случае итоговое значение принимает следующее значение:</t>
    </r>
  </si>
  <si>
    <t>ЭЭтр= (2- 1,5) * 300  * 1,3 = 195 рублей</t>
  </si>
  <si>
    <r>
      <t>2.1.4 Общий уровень переменных издержек (пункт 5.6 Методики) находится суммированием всех эффектов от снижения удельных расходов 
и умножением на ОРП</t>
    </r>
    <r>
      <rPr>
        <sz val="8"/>
        <color theme="1"/>
        <rFont val="Times New Roman"/>
        <family val="1"/>
        <charset val="204"/>
      </rPr>
      <t xml:space="preserve">2 </t>
    </r>
    <r>
      <rPr>
        <sz val="11"/>
        <color theme="1"/>
        <rFont val="Times New Roman"/>
        <family val="1"/>
        <charset val="204"/>
      </rPr>
      <t>(для определения реального эффекта) . Реальный экономический эффект от снижения переменных издержек будет иметь следующее значение:</t>
    </r>
  </si>
  <si>
    <t>ЭЭзпер = (500 + 0,053 + 195) * 5 472 = 3 803 330 рублей</t>
  </si>
  <si>
    <t xml:space="preserve">2.1.5 Сумма реальных экономических эффектов по увеличению объемов реализации и снижению переменных затрат соответствует экономическому эффекту по увеличению маржинальной прибыли. </t>
  </si>
  <si>
    <r>
      <rPr>
        <b/>
        <sz val="14"/>
        <color theme="1"/>
        <rFont val="Times New Roman"/>
        <family val="1"/>
        <charset val="204"/>
      </rPr>
      <t>2.2  	Экономия от снижения постоянных затрат</t>
    </r>
    <r>
      <rPr>
        <sz val="11"/>
        <color theme="1"/>
        <rFont val="Times New Roman"/>
        <family val="1"/>
        <charset val="204"/>
      </rPr>
      <t xml:space="preserve"> (пункт 6.8 Методики) Данный эффект учитывает результаты по оптимизации затрат потока, которые нельзя отнести к переменным расходам. В нашем случае в чек-листе были заполнены данные по постоянным трудозатратам и расходам на тепло и электричество. Остальные постоянные затраты предприятие по причине их низкой экономической значимости не указало, следовательно, в расчетах они не участвуют.</t>
    </r>
  </si>
  <si>
    <t xml:space="preserve">2.2.1 Эффект от снижения расходов на фонд оплаты труда персонала, оклад которых не зависит от объема произведенной продукции (пункт 6.8.1). Оптимизация процесса часто приводит к тому, что некоторые функции становятся неактуальными. Вследствие чего руководство вынуждено сокращать часть персонала. Данный эффект учитывает снижение персонала и средней заработной платы. </t>
  </si>
  <si>
    <t>ЭЭфот= (20 – 18) * 20 000 * 12 * 1,3 = 624 000 рублей.</t>
  </si>
  <si>
    <t>2.2.2 Эффект от снижения расходов на коммунальные услуги (пункт 6.8.2). На основании заполненных данных мы определяем эффект только от снижения расходов на электричество и тепло. Исходя из того, что рабочая площадь предприятия была сокращена на 200 м2, то данный эффект был достигнут в первую очередь от снижения коммунальных услуг на эту площадь. Эффект будет иметь следующее значение:</t>
  </si>
  <si>
    <t>ЭЭжкх= (150 000–120 000) * 5,3 + (8472 – 8048,4)* 1642 = 854 551 рублей.</t>
  </si>
  <si>
    <t xml:space="preserve">2.2.3 Эффект от снижения расходов на текущий ремонт и обслуживание оборудования (пункт 6.8.3). Данный эффект определяется разностью затрат на ремонт в до начала и по окончании проекта, приведенные к условному году: </t>
  </si>
  <si>
    <t>ЭЭрем= 100 000 – 90 000 = 10 000 рублей</t>
  </si>
  <si>
    <t>2.2.4 Общий уровень эффекта от оптимизации постоянных издержек (пункт 6.8 Методики) мы найдем суммированием всех эффектов от снижения постоянных расходов. Реальный и потенциальный экономические эффекты в данном случае будут совпадать:</t>
  </si>
  <si>
    <t>ЭЭзпост = 624 000 + 854 551 + 10 000 = 1 488 551 рублей</t>
  </si>
  <si>
    <r>
      <rPr>
        <b/>
        <sz val="14"/>
        <color theme="1"/>
        <rFont val="Times New Roman"/>
        <family val="1"/>
        <charset val="204"/>
      </rPr>
      <t>3.  Экономический эффект от снижения уровня запасов</t>
    </r>
    <r>
      <rPr>
        <sz val="11"/>
        <color theme="1"/>
        <rFont val="Times New Roman"/>
        <family val="1"/>
        <charset val="204"/>
      </rPr>
      <t xml:space="preserve"> (пункт 6.7 Методики) показывает объем единовременно высвобожденной ликвидности и возможного дохода от его использования. Расчет осуществляется на основе полученной разницы от снижения запасов и стоимости этих запасов. На разных стадиях производственного цикла запасы имеют разную стоимость, поэтому мы рассматриваем сырье и материалы, НЗП и готовую продукцию. Методика предполагает также расчет возможного дохода от высвободившихся денежных средств, при условии, что данная сумма будет размещена в кредитной организации под ключевую ставку Банка России. </t>
    </r>
  </si>
  <si>
    <t>3.1 Экономический эффект от снижения объема сырья и материалов определяется по формуле (пункт 6.7.1). При наличии широкого номенклатурного ряда сырья, дельта снижения складывается по каждому вида запасов. В нашем примере с учетом цены 1 единицы сырья и материалов в 500 рублей значение эффекта будет иметь следующее значение:</t>
  </si>
  <si>
    <t>СиМ= (1000 - 800) * 500 = 100 000 рублей</t>
  </si>
  <si>
    <r>
      <t>3.2 Экономический эффект от снижения объема НЗП определяется по формуле (пункт 6.7.2). Эффект определяется разницей в количестве деталей в потоке 
(Кдп</t>
    </r>
    <r>
      <rPr>
        <sz val="8"/>
        <color theme="1"/>
        <rFont val="Times New Roman"/>
        <family val="1"/>
        <charset val="204"/>
      </rPr>
      <t>2</t>
    </r>
    <r>
      <rPr>
        <sz val="11"/>
        <color theme="1"/>
        <rFont val="Times New Roman"/>
        <family val="1"/>
        <charset val="204"/>
      </rPr>
      <t xml:space="preserve"> Кдп</t>
    </r>
    <r>
      <rPr>
        <sz val="8"/>
        <color theme="1"/>
        <rFont val="Times New Roman"/>
        <family val="1"/>
        <charset val="204"/>
      </rPr>
      <t>1</t>
    </r>
    <r>
      <rPr>
        <sz val="11"/>
        <color theme="1"/>
        <rFont val="Times New Roman"/>
        <family val="1"/>
        <charset val="204"/>
      </rPr>
      <t>) и средней стоимостью НЗП. Эффект будет иметь следующее значение:</t>
    </r>
  </si>
  <si>
    <t>НЗП= (120 - 100) * 4000 = 80 000 рублей</t>
  </si>
  <si>
    <t>3.3 Экономический эффект от снижения объема готовой продукции определяется по формуле (пункт 6.7.3). Эффект будет иметь следующее значение:</t>
  </si>
  <si>
    <t>ГП= (150 - 75) * 7000 = 525 000 рублей</t>
  </si>
  <si>
    <t>3.4 Экономический эффект от снижения уровня запасов (пункт 6.7 Методики) определяется суммированием высвободившейся ликвидности. Необходимо отметить, что доход от процентов предприятие получит в будущем периоде, поэтому это будет отложенный эффект. Реальный и потенциальный экономические эффекты в данном случае будут совпадать:</t>
  </si>
  <si>
    <t>ЭЭзап = (100 000 + 80 000 + 525 000) * (1+6%) = 747 300 рублей (705 000 рублей единовременный эффект и 42 300 рублей отложенный эффект).</t>
  </si>
  <si>
    <r>
      <rPr>
        <b/>
        <sz val="14"/>
        <color theme="1"/>
        <rFont val="Times New Roman"/>
        <family val="1"/>
        <charset val="204"/>
      </rPr>
      <t>4. Экономический эффект по прочим доходам и расходам</t>
    </r>
    <r>
      <rPr>
        <sz val="11"/>
        <color theme="1"/>
        <rFont val="Times New Roman"/>
        <family val="1"/>
        <charset val="204"/>
      </rPr>
      <t xml:space="preserve"> (пункт 6.9 Методики). К прочим эффектам в формате данной Методики относятся значения по снижению брака и доходы от сдачи высвободившихся площадей в аренду.</t>
    </r>
  </si>
  <si>
    <r>
      <t>4.1 Экономический эффект от снижения уровня брака (пункт 6.9.1 Методики) определяется исходя из динамики доли брака на производственном процессе 
(Б</t>
    </r>
    <r>
      <rPr>
        <sz val="8"/>
        <color theme="1"/>
        <rFont val="Times New Roman"/>
        <family val="1"/>
        <charset val="204"/>
      </rPr>
      <t>1</t>
    </r>
    <r>
      <rPr>
        <sz val="11"/>
        <color theme="1"/>
        <rFont val="Times New Roman"/>
        <family val="1"/>
        <charset val="204"/>
      </rPr>
      <t>-Б</t>
    </r>
    <r>
      <rPr>
        <sz val="8"/>
        <color theme="1"/>
        <rFont val="Times New Roman"/>
        <family val="1"/>
        <charset val="204"/>
      </rPr>
      <t>2</t>
    </r>
    <r>
      <rPr>
        <sz val="11"/>
        <color theme="1"/>
        <rFont val="Times New Roman"/>
        <family val="1"/>
        <charset val="204"/>
      </rPr>
      <t>), стоимости средних переменных издержек и объема реализации. Стоимость переменных издержек рассмотрена в пункте 1.3 настоящего примера.</t>
    </r>
  </si>
  <si>
    <t xml:space="preserve">ЭЭб = 10% * 4184,5 * (5 * 500 + 300 * 2 часа * 1,3 + 1,34 * 5,3) - 5% * 5 472  * (4 * 500 + 300 * 1,5 часа * 1,3 + 1,33 * 5,3) = 1 375 487 – 709 185 = 666 294 рублей </t>
  </si>
  <si>
    <t>4.2 Экономический эффект от сдачи в аренду (пункт 6.9.2 Методики) определяем исходя из высвободившейся площади и ставки арендных платежей:</t>
  </si>
  <si>
    <t>ЭЭар= 200 * 2000 = 400 000 рублей</t>
  </si>
  <si>
    <t>4.3 Общий уровень эффектов от прочих доходов и расходов (пункт 6.9 Методики) определяется суммированием всех эффектов:</t>
  </si>
  <si>
    <t>ЭЭпдр (р) = 666 294 + 400 000 = 1 066 294 рублей</t>
  </si>
  <si>
    <r>
      <rPr>
        <b/>
        <sz val="14"/>
        <color theme="1"/>
        <rFont val="Times New Roman"/>
        <family val="1"/>
        <charset val="204"/>
      </rPr>
      <t>5.	   Итоговое значение экономического эффекта*</t>
    </r>
    <r>
      <rPr>
        <sz val="11"/>
        <color theme="1"/>
        <rFont val="Times New Roman"/>
        <family val="1"/>
        <charset val="204"/>
      </rPr>
      <t xml:space="preserve"> (пункт 6.4 Методики) находится суммированием рассчитанных эффектов с разбивкой на реальные и потенциальные эффекты:</t>
    </r>
  </si>
  <si>
    <t>ЭЭреал= 4 780 488 + 3 803 330 + 1 488 551 + 1 066 294 + 705 000 = 
11 843 663 рублей (+ 42 300 рублей – эффект от запасов в следующем году)</t>
  </si>
  <si>
    <t>ЭЭпот= 1 693 128 + 316 944 = 2 010 072 рублей</t>
  </si>
  <si>
    <t xml:space="preserve"> *Допустимая погрешность из-за округления при расчетах менее 0,05%.</t>
  </si>
  <si>
    <r>
      <t xml:space="preserve">Бизнес-контекст
</t>
    </r>
    <r>
      <rPr>
        <i/>
        <sz val="11"/>
        <color theme="1" tint="0.34998626667073579"/>
        <rFont val="Times New Roman"/>
        <family val="1"/>
        <charset val="204"/>
      </rPr>
      <t>(Что потерял бы бизнес в целом, если бы не реализовали проект/Что получил бизнес в целом от реализации проекта)</t>
    </r>
  </si>
  <si>
    <r>
      <t xml:space="preserve">Проблема/Решение
</t>
    </r>
    <r>
      <rPr>
        <i/>
        <sz val="11"/>
        <color theme="1" tint="0.34998626667073579"/>
        <rFont val="Times New Roman"/>
        <family val="1"/>
        <charset val="204"/>
      </rPr>
      <t>(Описание главной проблемы. Главное решение. Описание оптимизированного процесса)</t>
    </r>
  </si>
  <si>
    <r>
      <t xml:space="preserve">Результат и эффект
</t>
    </r>
    <r>
      <rPr>
        <i/>
        <sz val="11"/>
        <color theme="1" tint="0.34998626667073579"/>
        <rFont val="Times New Roman"/>
        <family val="1"/>
        <charset val="204"/>
      </rPr>
      <t>(Что получили, в каком масштабе после проекта. От чего получили эффект (сокращение затрат, сокращение ФОТ, увеличение продаж и т.п.)</t>
    </r>
  </si>
  <si>
    <t>Тариф на ГСМ в проекте</t>
  </si>
  <si>
    <t>л</t>
  </si>
  <si>
    <t>кг</t>
  </si>
  <si>
    <t>т</t>
  </si>
  <si>
    <t>тут</t>
  </si>
  <si>
    <t>Объем фактически потребленного ГСМ</t>
  </si>
  <si>
    <t>В рамках проекта были снижены переменные затраты на ГСМ?</t>
  </si>
  <si>
    <t>Расход ГСМ на производство 1 единицы готовой продукции</t>
  </si>
  <si>
    <t>В рамках проекта были сокращены постоянные затраты на потребление ГСМ?</t>
  </si>
  <si>
    <t>Возможно оценить запасы ГП через количество?</t>
  </si>
  <si>
    <t xml:space="preserve">Стоимость 1 единицы ГП на складе </t>
  </si>
  <si>
    <t>Есть ли подтв. рост спроса по отнош.к возможностям производства на старте?</t>
  </si>
  <si>
    <r>
      <rPr>
        <sz val="11"/>
        <rFont val="Times New Roman"/>
        <family val="1"/>
        <charset val="204"/>
      </rPr>
      <t xml:space="preserve">Пример:
</t>
    </r>
    <r>
      <rPr>
        <i/>
        <sz val="11"/>
        <color theme="0" tint="-0.499984740745262"/>
        <rFont val="Times New Roman"/>
        <family val="1"/>
        <charset val="204"/>
      </rPr>
      <t>Предприятие постоянно сталкивается со срывом производственных заказов на литые изделия из стали и чугуна, из-за чего теряет клиентов и репутацию. Производственный процесс, а также отсутствие на предприятии технолога, специалиста ОТК и слабый контроль за рабочими со стороны руководства, позволяет производить изделия в объеме не более 10 тонн в месяц.</t>
    </r>
  </si>
  <si>
    <r>
      <t xml:space="preserve">Пример:
</t>
    </r>
    <r>
      <rPr>
        <i/>
        <sz val="11"/>
        <color theme="0" tint="-0.499984740745262"/>
        <rFont val="Times New Roman"/>
        <family val="1"/>
        <charset val="204"/>
      </rPr>
      <t>Длительное время перемещения продукции в потоке не позволяло увеличить объем производства.Внедрили "решение по реконструкции линии":
- установили рельсовый путь вдоль цеха и сократили потери на транспортировку изделий/полуформ погрузчиком;
- установили тельфер и кантователь в конце рельсового пути для устранения узкого мета и запараллеливания работ по формовке, покраске и сборке.</t>
    </r>
  </si>
  <si>
    <r>
      <t xml:space="preserve">Пример:
</t>
    </r>
    <r>
      <rPr>
        <i/>
        <sz val="11"/>
        <color theme="0" tint="-0.499984740745262"/>
        <rFont val="Times New Roman"/>
        <family val="1"/>
        <charset val="204"/>
      </rPr>
      <t>- сократили время на изготовление формы для литья на 30 % с 20,3 мин. до 14, 3 мин.
- сократили потери на транспортировку погрузчиком со 107 м до 50 м. для одного изделия.
Что позволило предприятию производить изделия в объеме до 40 тонн в месяц при работе в одну смену и увеличить количество заказов.</t>
    </r>
  </si>
  <si>
    <t>Рекомендации по использованию моделей расчета экономического эффекта</t>
  </si>
  <si>
    <t>Направление</t>
  </si>
  <si>
    <t>Рекомендуемая модель</t>
  </si>
  <si>
    <t>Альтернативный вариант 
(для отдельных потоков)</t>
  </si>
  <si>
    <t>Производство</t>
  </si>
  <si>
    <t>Модель ЭЭ Производственные процессы</t>
  </si>
  <si>
    <t>Модель ЭЭ Обеспечивающие процессы</t>
  </si>
  <si>
    <t>Торговля</t>
  </si>
  <si>
    <t>Пассажирские перевозки (в т.ч. аэропорты)</t>
  </si>
  <si>
    <t>Офисные процессы</t>
  </si>
  <si>
    <t>Логистика и запасы</t>
  </si>
  <si>
    <t>Модель ЭЭ КП</t>
  </si>
  <si>
    <t>Коммерческие проекты (для расчёта прогнозного эффекта на старте проекта)</t>
  </si>
  <si>
    <t>№п/п</t>
  </si>
  <si>
    <t>При необходимости рассчитать эффект от сокращения сверхурочной оплаты перейти на лист "Сверхурочные" и заполнить там все голубые ячейки. Результат из двух нижних строк внести в строки 144-145 Чек-листа.</t>
  </si>
  <si>
    <t>Для заполнения строк 144-145 Чек-листа</t>
  </si>
  <si>
    <t>Наименование предприятия</t>
  </si>
  <si>
    <t>Регион</t>
  </si>
  <si>
    <t>Численность потока</t>
  </si>
  <si>
    <t>Возможно ли оценить запасы в потоке/НЗП в натуральных величинах (шт./л/кг) и их себестоимость?</t>
  </si>
  <si>
    <t>Количество запасов/НЗП в потоке</t>
  </si>
  <si>
    <t xml:space="preserve">Стоимость 1 единицы запасов/НЗП в потоке </t>
  </si>
  <si>
    <t>Запасы/НЗП в потоке в рублевом эквиваленте</t>
  </si>
  <si>
    <t>Расход ГСМ на производство 1 единицы полуфабриката</t>
  </si>
  <si>
    <t>Запасы, в т.ч.:</t>
  </si>
  <si>
    <t>Запасы в потоке/НЗП</t>
  </si>
  <si>
    <t>Сырьё и материалы</t>
  </si>
  <si>
    <t>Готовая продукция</t>
  </si>
  <si>
    <t>Диапазон</t>
  </si>
  <si>
    <t>Строка "Вопросы"</t>
  </si>
  <si>
    <t>Диапазон очистки</t>
  </si>
  <si>
    <t>ЕИ</t>
  </si>
  <si>
    <t>Строка для очистки 1</t>
  </si>
  <si>
    <t>Строка для очистки 2</t>
  </si>
  <si>
    <t>Очистка шапки</t>
  </si>
  <si>
    <t>Очистка шапки 1</t>
  </si>
  <si>
    <t>Очистка шапки 2</t>
  </si>
  <si>
    <t>Очистка шапки 3</t>
  </si>
  <si>
    <t>Очистка шапки 4</t>
  </si>
  <si>
    <t>Очистка шапки 5</t>
  </si>
  <si>
    <t>Очистка шапки 6</t>
  </si>
  <si>
    <t>Очистка шапки 7</t>
  </si>
  <si>
    <t>Заполните все оранжевые ячейки, после заполнения они станут голубыми</t>
  </si>
  <si>
    <t xml:space="preserve">Общая численность персонала (на начало проекта), задействованная в производственном процессе потока. Если работа осуществляется в несколько смен, то указывается итоговая численность всех смен (при этом в скобках указать количество смен). </t>
  </si>
  <si>
    <t>Версия 5.2</t>
  </si>
  <si>
    <t xml:space="preserve">10 человек </t>
  </si>
  <si>
    <t>г. Оренбург</t>
  </si>
  <si>
    <t>ООО "Оренбургхладокомбинат"</t>
  </si>
  <si>
    <t>коробка</t>
  </si>
  <si>
    <t>Оптимизация процесса производства мороженого в стакане</t>
  </si>
  <si>
    <t>Передел в производственном потоке
Увеличение времени протекания процесса из-за брака/передела
Отсутствуют автоматизированная система мониторинга показателей производственного процесса, отклонение показателей влияют на качество продукции
Риски срыва сроков поставок, снижение конкурентоспособности
Выявленные резервы оптимизации:
Возможность повышения эффективности планирования производства
Возможность сокращения времени протекания процесса за счет снижения количества простоев и ожиданий из-за поломок оборудования
Потенциал для снижения уровня брака/передела</t>
  </si>
  <si>
    <t xml:space="preserve">Выявленные проблемы:
Предлагаемые улучшения:
</t>
  </si>
  <si>
    <t>либо использовать по методике, доступное время * OEE, то есть, 293 544 * 0,26, а КИ тогда будет 75 343/86 530 = 0, 871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</si>
</sst>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_-* #,##0.00\ _₽_-;\-* #,##0.00\ _₽_-;_-* &quot;-&quot;??\ _₽_-;_-@_-"/>
    <numFmt numFmtId="165" formatCode="#,##0.000"/>
    <numFmt numFmtId="166" formatCode="0.000%"/>
    <numFmt numFmtId="167" formatCode="_-* #,##0_-;\-* #,##0_-;_-* &quot;-&quot;??_-;_-@_-"/>
    <numFmt numFmtId="168" formatCode="_-* #,##0.0_-;\-* #,##0.0_-;_-* &quot;-&quot;??_-;_-@_-"/>
    <numFmt numFmtId="169" formatCode="#,##0.0000000"/>
    <numFmt numFmtId="170" formatCode="0.0"/>
    <numFmt numFmtId="171" formatCode="0.0000"/>
    <numFmt numFmtId="172" formatCode="_-* #,##0.00000_-;\-* #,##0.00000_-;_-* &quot;-&quot;??_-;_-@_-"/>
    <numFmt numFmtId="173" formatCode="#,##0_ ;\-#,##0\ "/>
  </numFmts>
  <fonts count="71" x14ac:knownFonts="1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9"/>
      <color theme="0"/>
      <name val="Calibri"/>
      <family val="2"/>
      <charset val="204"/>
      <scheme val="minor"/>
    </font>
    <font>
      <b/>
      <sz val="18"/>
      <color rgb="FF0070C0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b/>
      <sz val="18"/>
      <color theme="1" tint="0.499984740745262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i/>
      <sz val="9.5"/>
      <color theme="1" tint="0.34998626667073579"/>
      <name val="Calibri"/>
      <family val="2"/>
      <charset val="204"/>
      <scheme val="minor"/>
    </font>
    <font>
      <i/>
      <sz val="8"/>
      <color theme="1" tint="0.34998626667073579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sz val="9"/>
      <color rgb="FF7030A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sz val="11"/>
      <name val="Times New Roman"/>
      <family val="1"/>
      <charset val="204"/>
    </font>
    <font>
      <b/>
      <sz val="9"/>
      <color theme="0" tint="-0.499984740745262"/>
      <name val="Calibri"/>
      <family val="2"/>
      <charset val="204"/>
      <scheme val="minor"/>
    </font>
    <font>
      <u/>
      <sz val="9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6"/>
      <color rgb="FF000000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1"/>
      <color rgb="FF00B0F0"/>
      <name val="Times New Roman"/>
      <family val="1"/>
      <charset val="204"/>
    </font>
    <font>
      <b/>
      <sz val="11"/>
      <name val="Times New Roman"/>
      <family val="1"/>
      <charset val="204"/>
    </font>
    <font>
      <sz val="13"/>
      <color rgb="FFFF000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8"/>
      <name val="Calibri"/>
      <family val="2"/>
      <charset val="204"/>
      <scheme val="minor"/>
    </font>
    <font>
      <b/>
      <sz val="8"/>
      <name val="Calibri"/>
      <family val="2"/>
      <charset val="204"/>
      <scheme val="minor"/>
    </font>
    <font>
      <i/>
      <sz val="9.5"/>
      <name val="Calibri"/>
      <family val="2"/>
      <charset val="204"/>
      <scheme val="minor"/>
    </font>
    <font>
      <sz val="11"/>
      <color theme="0"/>
      <name val="Times New Roman"/>
      <family val="1"/>
      <charset val="204"/>
    </font>
    <font>
      <i/>
      <sz val="9.5"/>
      <color theme="0" tint="-0.34998626667073579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i/>
      <sz val="9.5"/>
      <color theme="0"/>
      <name val="Calibri"/>
      <family val="2"/>
      <charset val="204"/>
      <scheme val="minor"/>
    </font>
    <font>
      <u/>
      <sz val="11"/>
      <color theme="10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 tint="0.499984740745262"/>
      <name val="Calibri"/>
      <family val="2"/>
      <charset val="204"/>
      <scheme val="minor"/>
    </font>
    <font>
      <b/>
      <sz val="16"/>
      <color theme="1"/>
      <name val="Times New Roman"/>
      <family val="1"/>
      <charset val="204"/>
    </font>
    <font>
      <sz val="14"/>
      <color rgb="FFFF0000"/>
      <name val="Calibri"/>
      <family val="2"/>
      <charset val="204"/>
      <scheme val="minor"/>
    </font>
    <font>
      <i/>
      <sz val="9.5"/>
      <color theme="1" tint="0.499984740745262"/>
      <name val="Calibri"/>
      <family val="2"/>
      <charset val="204"/>
      <scheme val="minor"/>
    </font>
    <font>
      <sz val="14"/>
      <color theme="0"/>
      <name val="Calibri"/>
      <family val="2"/>
      <charset val="204"/>
      <scheme val="minor"/>
    </font>
    <font>
      <u/>
      <sz val="11"/>
      <color theme="0"/>
      <name val="Calibri"/>
      <family val="2"/>
      <charset val="204"/>
      <scheme val="minor"/>
    </font>
    <font>
      <i/>
      <sz val="11"/>
      <color theme="1" tint="0.34998626667073579"/>
      <name val="Times New Roman"/>
      <family val="1"/>
      <charset val="204"/>
    </font>
    <font>
      <i/>
      <sz val="11"/>
      <color theme="0" tint="-0.499984740745262"/>
      <name val="Times New Roman"/>
      <family val="1"/>
      <charset val="204"/>
    </font>
    <font>
      <sz val="13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0" tint="-0.499984740745262"/>
      <name val="Times New Roman"/>
      <family val="1"/>
      <charset val="204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7EBA56"/>
        <bgColor indexed="64"/>
      </patternFill>
    </fill>
    <fill>
      <patternFill patternType="solid">
        <fgColor rgb="FFB98A57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D998"/>
        <bgColor indexed="64"/>
      </patternFill>
    </fill>
  </fills>
  <borders count="183">
    <border>
      <left/>
      <right/>
      <top/>
      <bottom/>
      <diagonal/>
    </border>
    <border>
      <left style="thick">
        <color rgb="FF7EBA56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ck">
        <color rgb="FF7EBA56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EBA56"/>
      </left>
      <right style="thin">
        <color theme="0" tint="-0.24994659260841701"/>
      </right>
      <top style="thin">
        <color theme="0" tint="-0.24994659260841701"/>
      </top>
      <bottom style="thick">
        <color rgb="FF7EBA56"/>
      </bottom>
      <diagonal/>
    </border>
    <border>
      <left style="thin">
        <color theme="0" tint="-0.24994659260841701"/>
      </left>
      <right style="thick">
        <color rgb="FF7EBA56"/>
      </right>
      <top style="thin">
        <color theme="0" tint="-0.24994659260841701"/>
      </top>
      <bottom style="thick">
        <color rgb="FF7EBA56"/>
      </bottom>
      <diagonal/>
    </border>
    <border>
      <left style="medium">
        <color rgb="FF7EBA56"/>
      </left>
      <right style="thin">
        <color theme="0" tint="-0.24994659260841701"/>
      </right>
      <top style="medium">
        <color rgb="FF7EBA56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7EBA56"/>
      </right>
      <top style="medium">
        <color rgb="FF7EBA56"/>
      </top>
      <bottom style="thin">
        <color theme="0" tint="-0.24994659260841701"/>
      </bottom>
      <diagonal/>
    </border>
    <border>
      <left style="medium">
        <color rgb="FF7EBA56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7EBA56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7EBA56"/>
      </left>
      <right style="thin">
        <color theme="0" tint="-0.24994659260841701"/>
      </right>
      <top style="thin">
        <color theme="0" tint="-0.24994659260841701"/>
      </top>
      <bottom style="medium">
        <color rgb="FF7EBA56"/>
      </bottom>
      <diagonal/>
    </border>
    <border>
      <left style="thin">
        <color theme="0" tint="-0.24994659260841701"/>
      </left>
      <right style="medium">
        <color rgb="FF7EBA56"/>
      </right>
      <top style="thin">
        <color theme="0" tint="-0.24994659260841701"/>
      </top>
      <bottom style="medium">
        <color rgb="FF7EBA56"/>
      </bottom>
      <diagonal/>
    </border>
    <border>
      <left style="thick">
        <color rgb="FF7EBA56"/>
      </left>
      <right/>
      <top style="thick">
        <color rgb="FF7EBA56"/>
      </top>
      <bottom/>
      <diagonal/>
    </border>
    <border>
      <left style="thick">
        <color rgb="FF7EBA56"/>
      </left>
      <right/>
      <top/>
      <bottom/>
      <diagonal/>
    </border>
    <border>
      <left style="thick">
        <color rgb="FF7EBA56"/>
      </left>
      <right/>
      <top/>
      <bottom style="thick">
        <color rgb="FF7EBA56"/>
      </bottom>
      <diagonal/>
    </border>
    <border>
      <left style="thick">
        <color rgb="FF7EBA56"/>
      </left>
      <right style="thick">
        <color rgb="FF7EBA56"/>
      </right>
      <top style="thick">
        <color rgb="FF7EBA56"/>
      </top>
      <bottom/>
      <diagonal/>
    </border>
    <border>
      <left/>
      <right style="thick">
        <color rgb="FF7EBA56"/>
      </right>
      <top style="thick">
        <color rgb="FF7EBA56"/>
      </top>
      <bottom/>
      <diagonal/>
    </border>
    <border>
      <left/>
      <right/>
      <top style="thick">
        <color rgb="FF7EBA56"/>
      </top>
      <bottom/>
      <diagonal/>
    </border>
    <border>
      <left style="medium">
        <color rgb="FF7EBA56"/>
      </left>
      <right/>
      <top style="medium">
        <color rgb="FF7EBA56"/>
      </top>
      <bottom/>
      <diagonal/>
    </border>
    <border>
      <left/>
      <right/>
      <top style="medium">
        <color rgb="FF7EBA56"/>
      </top>
      <bottom/>
      <diagonal/>
    </border>
    <border>
      <left/>
      <right style="medium">
        <color rgb="FF7EBA56"/>
      </right>
      <top style="medium">
        <color rgb="FF7EBA56"/>
      </top>
      <bottom/>
      <diagonal/>
    </border>
    <border>
      <left style="thick">
        <color rgb="FF7EBA56"/>
      </left>
      <right/>
      <top style="medium">
        <color rgb="FF7EBA56"/>
      </top>
      <bottom/>
      <diagonal/>
    </border>
    <border>
      <left style="thick">
        <color rgb="FFB98A57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ck">
        <color rgb="FFB98A57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B98A57"/>
      </left>
      <right style="thin">
        <color theme="0" tint="-0.24994659260841701"/>
      </right>
      <top style="thin">
        <color theme="0" tint="-0.24994659260841701"/>
      </top>
      <bottom style="thick">
        <color rgb="FFB98A57"/>
      </bottom>
      <diagonal/>
    </border>
    <border>
      <left style="thin">
        <color theme="0" tint="-0.24994659260841701"/>
      </left>
      <right style="thick">
        <color rgb="FFB98A57"/>
      </right>
      <top style="thin">
        <color theme="0" tint="-0.24994659260841701"/>
      </top>
      <bottom style="thick">
        <color rgb="FFB98A57"/>
      </bottom>
      <diagonal/>
    </border>
    <border>
      <left style="medium">
        <color rgb="FFB98A57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B98A57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B98A57"/>
      </left>
      <right style="thin">
        <color theme="0" tint="-0.24994659260841701"/>
      </right>
      <top style="thin">
        <color theme="0" tint="-0.24994659260841701"/>
      </top>
      <bottom style="medium">
        <color rgb="FFB98A57"/>
      </bottom>
      <diagonal/>
    </border>
    <border>
      <left style="thin">
        <color theme="0" tint="-0.24994659260841701"/>
      </left>
      <right style="medium">
        <color rgb="FFB98A57"/>
      </right>
      <top style="thin">
        <color theme="0" tint="-0.24994659260841701"/>
      </top>
      <bottom style="medium">
        <color rgb="FFB98A57"/>
      </bottom>
      <diagonal/>
    </border>
    <border>
      <left/>
      <right/>
      <top style="medium">
        <color rgb="FFB98A57"/>
      </top>
      <bottom/>
      <diagonal/>
    </border>
    <border>
      <left style="thick">
        <color rgb="FFB98A57"/>
      </left>
      <right/>
      <top style="thick">
        <color rgb="FFB98A57"/>
      </top>
      <bottom/>
      <diagonal/>
    </border>
    <border>
      <left style="thick">
        <color rgb="FFB98A57"/>
      </left>
      <right/>
      <top/>
      <bottom/>
      <diagonal/>
    </border>
    <border>
      <left style="thick">
        <color rgb="FFB98A57"/>
      </left>
      <right/>
      <top/>
      <bottom style="thick">
        <color rgb="FFB98A57"/>
      </bottom>
      <diagonal/>
    </border>
    <border>
      <left style="thick">
        <color rgb="FFB98A57"/>
      </left>
      <right style="thick">
        <color rgb="FFB98A57"/>
      </right>
      <top style="thick">
        <color rgb="FFB98A57"/>
      </top>
      <bottom/>
      <diagonal/>
    </border>
    <border>
      <left/>
      <right/>
      <top style="thick">
        <color rgb="FFB98A57"/>
      </top>
      <bottom/>
      <diagonal/>
    </border>
    <border>
      <left style="medium">
        <color rgb="FFB98A57"/>
      </left>
      <right/>
      <top/>
      <bottom style="medium">
        <color rgb="FFB98A57"/>
      </bottom>
      <diagonal/>
    </border>
    <border>
      <left style="thick">
        <color rgb="FFB98A57"/>
      </left>
      <right/>
      <top style="medium">
        <color rgb="FFB98A57"/>
      </top>
      <bottom/>
      <diagonal/>
    </border>
    <border>
      <left style="thick">
        <color rgb="FFB98A57"/>
      </left>
      <right/>
      <top/>
      <bottom style="medium">
        <color rgb="FFB98A57"/>
      </bottom>
      <diagonal/>
    </border>
    <border>
      <left/>
      <right/>
      <top/>
      <bottom style="medium">
        <color rgb="FFB98A57"/>
      </bottom>
      <diagonal/>
    </border>
    <border>
      <left/>
      <right style="medium">
        <color rgb="FFB98A57"/>
      </right>
      <top/>
      <bottom style="medium">
        <color rgb="FFB98A57"/>
      </bottom>
      <diagonal/>
    </border>
    <border>
      <left/>
      <right style="thick">
        <color rgb="FFB98A57"/>
      </right>
      <top style="thick">
        <color rgb="FFB98A57"/>
      </top>
      <bottom/>
      <diagonal/>
    </border>
    <border>
      <left/>
      <right/>
      <top/>
      <bottom style="thick">
        <color rgb="FFB98A57"/>
      </bottom>
      <diagonal/>
    </border>
    <border>
      <left style="thick">
        <color rgb="FF666699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ck">
        <color rgb="FF666699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666699"/>
      </left>
      <right style="thin">
        <color theme="0" tint="-0.24994659260841701"/>
      </right>
      <top style="thin">
        <color theme="0" tint="-0.24994659260841701"/>
      </top>
      <bottom style="thick">
        <color rgb="FF666699"/>
      </bottom>
      <diagonal/>
    </border>
    <border>
      <left style="thin">
        <color theme="0" tint="-0.24994659260841701"/>
      </left>
      <right style="thick">
        <color rgb="FF666699"/>
      </right>
      <top style="thin">
        <color theme="0" tint="-0.24994659260841701"/>
      </top>
      <bottom style="thick">
        <color rgb="FF666699"/>
      </bottom>
      <diagonal/>
    </border>
    <border>
      <left style="thick">
        <color theme="6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ck">
        <color theme="6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6" tint="-0.24994659260841701"/>
      </left>
      <right style="thin">
        <color theme="0" tint="-0.24994659260841701"/>
      </right>
      <top style="thin">
        <color theme="0" tint="-0.24994659260841701"/>
      </top>
      <bottom style="thick">
        <color theme="6" tint="-0.24994659260841701"/>
      </bottom>
      <diagonal/>
    </border>
    <border>
      <left style="thin">
        <color theme="0" tint="-0.24994659260841701"/>
      </left>
      <right style="thick">
        <color theme="6" tint="-0.24994659260841701"/>
      </right>
      <top style="thin">
        <color theme="0" tint="-0.24994659260841701"/>
      </top>
      <bottom style="thick">
        <color theme="6" tint="-0.24994659260841701"/>
      </bottom>
      <diagonal/>
    </border>
    <border>
      <left style="thick">
        <color theme="6" tint="-0.24994659260841701"/>
      </left>
      <right/>
      <top style="thick">
        <color theme="6" tint="-0.24994659260841701"/>
      </top>
      <bottom/>
      <diagonal/>
    </border>
    <border>
      <left style="thick">
        <color theme="6" tint="-0.24994659260841701"/>
      </left>
      <right/>
      <top/>
      <bottom/>
      <diagonal/>
    </border>
    <border>
      <left style="thick">
        <color theme="6" tint="-0.24994659260841701"/>
      </left>
      <right/>
      <top/>
      <bottom style="thick">
        <color theme="6" tint="-0.24994659260841701"/>
      </bottom>
      <diagonal/>
    </border>
    <border>
      <left style="thick">
        <color theme="6" tint="-0.24994659260841701"/>
      </left>
      <right style="thick">
        <color theme="6" tint="-0.24994659260841701"/>
      </right>
      <top style="thick">
        <color theme="6" tint="-0.24994659260841701"/>
      </top>
      <bottom/>
      <diagonal/>
    </border>
    <border>
      <left/>
      <right/>
      <top style="thick">
        <color theme="6" tint="-0.24994659260841701"/>
      </top>
      <bottom/>
      <diagonal/>
    </border>
    <border>
      <left style="thick">
        <color theme="6" tint="-0.24994659260841701"/>
      </left>
      <right/>
      <top style="medium">
        <color theme="6" tint="-0.24994659260841701"/>
      </top>
      <bottom/>
      <diagonal/>
    </border>
    <border>
      <left/>
      <right/>
      <top style="medium">
        <color theme="6" tint="-0.24994659260841701"/>
      </top>
      <bottom/>
      <diagonal/>
    </border>
    <border>
      <left style="medium">
        <color theme="6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6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6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6" tint="-0.24994659260841701"/>
      </bottom>
      <diagonal/>
    </border>
    <border>
      <left style="thin">
        <color theme="0" tint="-0.24994659260841701"/>
      </left>
      <right style="medium">
        <color theme="6" tint="-0.24994659260841701"/>
      </right>
      <top style="thin">
        <color theme="0" tint="-0.24994659260841701"/>
      </top>
      <bottom style="medium">
        <color theme="6" tint="-0.24994659260841701"/>
      </bottom>
      <diagonal/>
    </border>
    <border>
      <left style="medium">
        <color rgb="FF666699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666699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666699"/>
      </left>
      <right style="thin">
        <color theme="0" tint="-0.24994659260841701"/>
      </right>
      <top style="thin">
        <color theme="0" tint="-0.24994659260841701"/>
      </top>
      <bottom style="medium">
        <color rgb="FF666699"/>
      </bottom>
      <diagonal/>
    </border>
    <border>
      <left style="thin">
        <color theme="0" tint="-0.24994659260841701"/>
      </left>
      <right style="medium">
        <color rgb="FF666699"/>
      </right>
      <top style="thin">
        <color theme="0" tint="-0.24994659260841701"/>
      </top>
      <bottom style="medium">
        <color rgb="FF666699"/>
      </bottom>
      <diagonal/>
    </border>
    <border>
      <left style="medium">
        <color rgb="FF666699"/>
      </left>
      <right/>
      <top/>
      <bottom/>
      <diagonal/>
    </border>
    <border>
      <left/>
      <right style="medium">
        <color rgb="FF666699"/>
      </right>
      <top/>
      <bottom/>
      <diagonal/>
    </border>
    <border>
      <left style="medium">
        <color rgb="FF666699"/>
      </left>
      <right/>
      <top/>
      <bottom style="medium">
        <color rgb="FF666699"/>
      </bottom>
      <diagonal/>
    </border>
    <border>
      <left/>
      <right/>
      <top/>
      <bottom style="medium">
        <color rgb="FF666699"/>
      </bottom>
      <diagonal/>
    </border>
    <border>
      <left/>
      <right style="medium">
        <color rgb="FF666699"/>
      </right>
      <top/>
      <bottom style="medium">
        <color rgb="FF666699"/>
      </bottom>
      <diagonal/>
    </border>
    <border>
      <left style="thick">
        <color theme="4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theme="4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ck">
        <color theme="4" tint="-0.24994659260841701"/>
      </right>
      <top style="thin">
        <color theme="0" tint="-0.24994659260841701"/>
      </top>
      <bottom style="thick">
        <color theme="4" tint="-0.24994659260841701"/>
      </bottom>
      <diagonal/>
    </border>
    <border>
      <left style="thin">
        <color theme="0" tint="-0.24994659260841701"/>
      </left>
      <right style="thick">
        <color theme="4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medium">
        <color rgb="FF7EBA56"/>
      </bottom>
      <diagonal/>
    </border>
    <border>
      <left style="thick">
        <color rgb="FF7EBA56"/>
      </left>
      <right/>
      <top/>
      <bottom style="medium">
        <color rgb="FF7EBA56"/>
      </bottom>
      <diagonal/>
    </border>
    <border>
      <left style="medium">
        <color rgb="FF7EBA56"/>
      </left>
      <right/>
      <top/>
      <bottom/>
      <diagonal/>
    </border>
    <border>
      <left style="medium">
        <color rgb="FF7EBA56"/>
      </left>
      <right/>
      <top/>
      <bottom style="medium">
        <color rgb="FF7EBA56"/>
      </bottom>
      <diagonal/>
    </border>
    <border>
      <left/>
      <right style="medium">
        <color rgb="FF7EBA56"/>
      </right>
      <top/>
      <bottom style="medium">
        <color rgb="FF7EBA56"/>
      </bottom>
      <diagonal/>
    </border>
    <border>
      <left/>
      <right/>
      <top/>
      <bottom style="thick">
        <color rgb="FF7EBA56"/>
      </bottom>
      <diagonal/>
    </border>
    <border>
      <left style="thick">
        <color rgb="FFB98A57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rgb="FFB98A57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B98A57"/>
      </left>
      <right/>
      <top style="thick">
        <color rgb="FFB98A57"/>
      </top>
      <bottom style="thin">
        <color theme="0" tint="-0.24994659260841701"/>
      </bottom>
      <diagonal/>
    </border>
    <border>
      <left/>
      <right style="thick">
        <color rgb="FFB98A57"/>
      </right>
      <top style="thick">
        <color rgb="FFB98A57"/>
      </top>
      <bottom style="thin">
        <color theme="0" tint="-0.24994659260841701"/>
      </bottom>
      <diagonal/>
    </border>
    <border>
      <left style="medium">
        <color rgb="FF7EBA56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rgb="FF7EBA56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EBA56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rgb="FF7EBA56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7EBA56"/>
      </left>
      <right/>
      <top style="medium">
        <color rgb="FF7EBA56"/>
      </top>
      <bottom style="thin">
        <color theme="0" tint="-0.24994659260841701"/>
      </bottom>
      <diagonal/>
    </border>
    <border>
      <left/>
      <right style="medium">
        <color rgb="FF7EBA56"/>
      </right>
      <top style="medium">
        <color rgb="FF7EBA56"/>
      </top>
      <bottom style="thin">
        <color theme="0" tint="-0.24994659260841701"/>
      </bottom>
      <diagonal/>
    </border>
    <border>
      <left style="thick">
        <color rgb="FF7EBA56"/>
      </left>
      <right/>
      <top style="thick">
        <color rgb="FF7EBA56"/>
      </top>
      <bottom style="thin">
        <color theme="0" tint="-0.24994659260841701"/>
      </bottom>
      <diagonal/>
    </border>
    <border>
      <left/>
      <right style="thick">
        <color rgb="FF7EBA56"/>
      </right>
      <top style="thick">
        <color rgb="FF7EBA56"/>
      </top>
      <bottom style="thin">
        <color theme="0" tint="-0.24994659260841701"/>
      </bottom>
      <diagonal/>
    </border>
    <border>
      <left/>
      <right style="thick">
        <color rgb="FF7EBA56"/>
      </right>
      <top/>
      <bottom style="thick">
        <color rgb="FF7EBA56"/>
      </bottom>
      <diagonal/>
    </border>
    <border>
      <left style="thick">
        <color rgb="FF666699"/>
      </left>
      <right/>
      <top/>
      <bottom/>
      <diagonal/>
    </border>
    <border>
      <left style="thick">
        <color rgb="FF666699"/>
      </left>
      <right/>
      <top/>
      <bottom style="thick">
        <color rgb="FF666699"/>
      </bottom>
      <diagonal/>
    </border>
    <border>
      <left style="medium">
        <color rgb="FFB98A57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rgb="FFB98A57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/>
      <diagonal/>
    </border>
    <border>
      <left/>
      <right/>
      <top style="thick">
        <color theme="4" tint="-0.24994659260841701"/>
      </top>
      <bottom/>
      <diagonal/>
    </border>
    <border>
      <left style="thick">
        <color theme="4" tint="-0.24994659260841701"/>
      </left>
      <right/>
      <top/>
      <bottom/>
      <diagonal/>
    </border>
    <border>
      <left style="thick">
        <color theme="4" tint="-0.24994659260841701"/>
      </left>
      <right/>
      <top/>
      <bottom style="thick">
        <color theme="4" tint="-0.24994659260841701"/>
      </bottom>
      <diagonal/>
    </border>
    <border>
      <left/>
      <right/>
      <top/>
      <bottom style="thick">
        <color theme="6" tint="-0.24994659260841701"/>
      </bottom>
      <diagonal/>
    </border>
    <border>
      <left/>
      <right/>
      <top/>
      <bottom style="thick">
        <color rgb="FF666699"/>
      </bottom>
      <diagonal/>
    </border>
    <border>
      <left/>
      <right/>
      <top style="medium">
        <color theme="1" tint="0.499984740745262"/>
      </top>
      <bottom/>
      <diagonal/>
    </border>
    <border>
      <left/>
      <right/>
      <top/>
      <bottom style="medium">
        <color theme="1" tint="0.499984740745262"/>
      </bottom>
      <diagonal/>
    </border>
    <border>
      <left style="medium">
        <color rgb="FFB98A57"/>
      </left>
      <right/>
      <top style="medium">
        <color rgb="FFB98A57"/>
      </top>
      <bottom style="thin">
        <color theme="0" tint="-0.24994659260841701"/>
      </bottom>
      <diagonal/>
    </border>
    <border>
      <left/>
      <right style="medium">
        <color rgb="FFB98A57"/>
      </right>
      <top style="medium">
        <color rgb="FFB98A57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rgb="FF666699"/>
      </top>
      <bottom/>
      <diagonal/>
    </border>
    <border>
      <left style="thick">
        <color theme="4" tint="-0.24994659260841701"/>
      </left>
      <right style="thin">
        <color theme="0" tint="-0.24994659260841701"/>
      </right>
      <top style="thin">
        <color theme="0" tint="-0.24994659260841701"/>
      </top>
      <bottom style="thick">
        <color theme="4" tint="-0.24994659260841701"/>
      </bottom>
      <diagonal/>
    </border>
    <border>
      <left style="medium">
        <color rgb="FF666699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rgb="FF666699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666699"/>
      </left>
      <right/>
      <top style="medium">
        <color rgb="FF666699"/>
      </top>
      <bottom style="thin">
        <color theme="0" tint="-0.24994659260841701"/>
      </bottom>
      <diagonal/>
    </border>
    <border>
      <left/>
      <right style="medium">
        <color rgb="FF666699"/>
      </right>
      <top style="medium">
        <color rgb="FF666699"/>
      </top>
      <bottom style="thin">
        <color theme="0" tint="-0.24994659260841701"/>
      </bottom>
      <diagonal/>
    </border>
    <border>
      <left style="thick">
        <color rgb="FF666699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rgb="FF666699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666699"/>
      </left>
      <right/>
      <top style="thick">
        <color rgb="FF666699"/>
      </top>
      <bottom style="thin">
        <color theme="0" tint="-0.24994659260841701"/>
      </bottom>
      <diagonal/>
    </border>
    <border>
      <left/>
      <right style="thick">
        <color rgb="FF666699"/>
      </right>
      <top style="thick">
        <color rgb="FF666699"/>
      </top>
      <bottom style="thin">
        <color theme="0" tint="-0.24994659260841701"/>
      </bottom>
      <diagonal/>
    </border>
    <border>
      <left style="medium">
        <color theme="6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6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theme="6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6" tint="-0.24994659260841701"/>
      </left>
      <right/>
      <top/>
      <bottom style="medium">
        <color theme="6" tint="-0.24994659260841701"/>
      </bottom>
      <diagonal/>
    </border>
    <border>
      <left/>
      <right/>
      <top/>
      <bottom style="medium">
        <color theme="6" tint="-0.24994659260841701"/>
      </bottom>
      <diagonal/>
    </border>
    <border>
      <left/>
      <right style="medium">
        <color theme="6" tint="-0.24994659260841701"/>
      </right>
      <top/>
      <bottom style="medium">
        <color theme="6" tint="-0.24994659260841701"/>
      </bottom>
      <diagonal/>
    </border>
    <border>
      <left style="thick">
        <color theme="6" tint="-0.24994659260841701"/>
      </left>
      <right/>
      <top/>
      <bottom style="medium">
        <color theme="6" tint="-0.24994659260841701"/>
      </bottom>
      <diagonal/>
    </border>
    <border>
      <left style="thick">
        <color theme="6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6" tint="-0.24994659260841701"/>
      </left>
      <right/>
      <top style="medium">
        <color theme="6" tint="-0.24994659260841701"/>
      </top>
      <bottom style="thin">
        <color theme="0" tint="-0.24994659260841701"/>
      </bottom>
      <diagonal/>
    </border>
    <border>
      <left/>
      <right style="medium">
        <color theme="6" tint="-0.24994659260841701"/>
      </right>
      <top style="medium">
        <color theme="6" tint="-0.24994659260841701"/>
      </top>
      <bottom style="thin">
        <color theme="0" tint="-0.24994659260841701"/>
      </bottom>
      <diagonal/>
    </border>
    <border>
      <left style="thick">
        <color theme="6" tint="-0.24994659260841701"/>
      </left>
      <right/>
      <top style="thick">
        <color theme="6" tint="-0.24994659260841701"/>
      </top>
      <bottom style="thin">
        <color theme="0" tint="-0.24994659260841701"/>
      </bottom>
      <diagonal/>
    </border>
    <border>
      <left/>
      <right style="thick">
        <color theme="6" tint="-0.24994659260841701"/>
      </right>
      <top style="thick">
        <color theme="6" tint="-0.24994659260841701"/>
      </top>
      <bottom style="thin">
        <color theme="0" tint="-0.24994659260841701"/>
      </bottom>
      <diagonal/>
    </border>
    <border>
      <left/>
      <right style="thick">
        <color theme="6" tint="-0.24994659260841701"/>
      </right>
      <top/>
      <bottom style="thick">
        <color theme="6" tint="-0.24994659260841701"/>
      </bottom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n">
        <color theme="0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666699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medium">
        <color rgb="FF666699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EBA56"/>
      </left>
      <right style="thick">
        <color rgb="FF7EBA56"/>
      </right>
      <top style="thick">
        <color rgb="FF7EBA56"/>
      </top>
      <bottom style="thick">
        <color rgb="FF7EBA56"/>
      </bottom>
      <diagonal/>
    </border>
    <border>
      <left/>
      <right/>
      <top style="thick">
        <color rgb="FF7EBA56"/>
      </top>
      <bottom style="thick">
        <color rgb="FF7EBA56"/>
      </bottom>
      <diagonal/>
    </border>
    <border>
      <left/>
      <right/>
      <top style="thick">
        <color rgb="FF7EBA56"/>
      </top>
      <bottom style="medium">
        <color rgb="FF7EBA56"/>
      </bottom>
      <diagonal/>
    </border>
    <border>
      <left style="thick">
        <color rgb="FFB98A57"/>
      </left>
      <right style="thick">
        <color rgb="FFB98A57"/>
      </right>
      <top style="thick">
        <color rgb="FFB98A57"/>
      </top>
      <bottom style="thick">
        <color rgb="FFB98A57"/>
      </bottom>
      <diagonal/>
    </border>
    <border>
      <left style="thick">
        <color rgb="FF666699"/>
      </left>
      <right style="thick">
        <color rgb="FF666699"/>
      </right>
      <top style="thick">
        <color rgb="FF666699"/>
      </top>
      <bottom style="thick">
        <color rgb="FF666699"/>
      </bottom>
      <diagonal/>
    </border>
    <border>
      <left style="thick">
        <color theme="6" tint="-0.24994659260841701"/>
      </left>
      <right style="thick">
        <color theme="6" tint="-0.24994659260841701"/>
      </right>
      <top style="thick">
        <color theme="6" tint="-0.24994659260841701"/>
      </top>
      <bottom style="thick">
        <color theme="6" tint="-0.24994659260841701"/>
      </bottom>
      <diagonal/>
    </border>
    <border>
      <left style="thick">
        <color theme="6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ck">
        <color theme="6" tint="-0.24994659260841701"/>
      </right>
      <top style="thin">
        <color theme="0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ck">
        <color theme="4" tint="-0.24994659260841701"/>
      </left>
      <right style="thick">
        <color rgb="FF666699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rgb="FF666699"/>
      </right>
      <top/>
      <bottom/>
      <diagonal/>
    </border>
    <border>
      <left style="thick">
        <color rgb="FF666699"/>
      </left>
      <right style="medium">
        <color rgb="FF666699"/>
      </right>
      <top/>
      <bottom/>
      <diagonal/>
    </border>
    <border>
      <left style="thick">
        <color rgb="FF666699"/>
      </left>
      <right style="medium">
        <color rgb="FF666699"/>
      </right>
      <top style="thick">
        <color rgb="FF666699"/>
      </top>
      <bottom/>
      <diagonal/>
    </border>
    <border>
      <left style="thick">
        <color rgb="FF666699"/>
      </left>
      <right style="medium">
        <color rgb="FF666699"/>
      </right>
      <top/>
      <bottom style="thick">
        <color rgb="FF666699"/>
      </bottom>
      <diagonal/>
    </border>
    <border>
      <left/>
      <right style="thick">
        <color rgb="FF666699"/>
      </right>
      <top/>
      <bottom style="thick">
        <color rgb="FF666699"/>
      </bottom>
      <diagonal/>
    </border>
    <border>
      <left style="medium">
        <color rgb="FF666699"/>
      </left>
      <right style="thin">
        <color theme="0" tint="-0.24994659260841701"/>
      </right>
      <top style="thin">
        <color theme="0" tint="-0.24994659260841701"/>
      </top>
      <bottom style="thick">
        <color rgb="FF666699"/>
      </bottom>
      <diagonal/>
    </border>
    <border>
      <left style="thin">
        <color theme="0" tint="-0.24994659260841701"/>
      </left>
      <right style="medium">
        <color rgb="FF666699"/>
      </right>
      <top style="thin">
        <color theme="0" tint="-0.24994659260841701"/>
      </top>
      <bottom style="thick">
        <color rgb="FF666699"/>
      </bottom>
      <diagonal/>
    </border>
    <border>
      <left style="thick">
        <color rgb="FF666699"/>
      </left>
      <right style="medium">
        <color rgb="FF666699"/>
      </right>
      <top style="thick">
        <color rgb="FF666699"/>
      </top>
      <bottom style="thick">
        <color rgb="FF666699"/>
      </bottom>
      <diagonal/>
    </border>
    <border>
      <left style="thick">
        <color rgb="FFB98A57"/>
      </left>
      <right style="thick">
        <color rgb="FFB98A57"/>
      </right>
      <top/>
      <bottom/>
      <diagonal/>
    </border>
    <border>
      <left/>
      <right/>
      <top style="thick">
        <color rgb="FFB98A57"/>
      </top>
      <bottom style="thick">
        <color rgb="FFB98A57"/>
      </bottom>
      <diagonal/>
    </border>
    <border>
      <left style="thick">
        <color rgb="FF7EBA56"/>
      </left>
      <right style="thick">
        <color rgb="FF7EBA56"/>
      </right>
      <top/>
      <bottom style="thick">
        <color rgb="FF7EBA56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 style="thick">
        <color rgb="FF666699"/>
      </left>
      <right style="thick">
        <color rgb="FF666699"/>
      </right>
      <top style="thick">
        <color rgb="FF666699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/>
      <diagonal/>
    </border>
    <border>
      <left style="thick">
        <color theme="1" tint="0.499984740745262"/>
      </left>
      <right style="thick">
        <color theme="1" tint="0.499984740745262"/>
      </right>
      <top/>
      <bottom style="thick">
        <color theme="1" tint="0.499984740745262"/>
      </bottom>
      <diagonal/>
    </border>
    <border>
      <left/>
      <right/>
      <top style="thin">
        <color theme="0"/>
      </top>
      <bottom/>
      <diagonal/>
    </border>
  </borders>
  <cellStyleXfs count="5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41" fillId="0" borderId="0" applyNumberFormat="0" applyFill="0" applyBorder="0" applyAlignment="0" applyProtection="0"/>
  </cellStyleXfs>
  <cellXfs count="660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5" fillId="0" borderId="11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5" fillId="0" borderId="19" xfId="0" applyFont="1" applyBorder="1" applyAlignment="1">
      <alignment vertical="center"/>
    </xf>
    <xf numFmtId="0" fontId="5" fillId="0" borderId="20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29" xfId="0" applyFont="1" applyBorder="1" applyAlignment="1">
      <alignment vertical="center"/>
    </xf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36" xfId="0" applyBorder="1"/>
    <xf numFmtId="0" fontId="0" fillId="0" borderId="29" xfId="0" applyBorder="1"/>
    <xf numFmtId="0" fontId="0" fillId="0" borderId="40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5" xfId="0" applyBorder="1"/>
    <xf numFmtId="0" fontId="0" fillId="0" borderId="56" xfId="0" applyBorder="1"/>
    <xf numFmtId="0" fontId="0" fillId="0" borderId="65" xfId="0" applyBorder="1"/>
    <xf numFmtId="0" fontId="0" fillId="0" borderId="66" xfId="0" applyBorder="1"/>
    <xf numFmtId="0" fontId="1" fillId="0" borderId="73" xfId="0" applyFont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17" xfId="0" applyBorder="1"/>
    <xf numFmtId="0" fontId="5" fillId="0" borderId="76" xfId="0" applyFont="1" applyBorder="1" applyAlignment="1">
      <alignment vertical="center"/>
    </xf>
    <xf numFmtId="0" fontId="0" fillId="0" borderId="77" xfId="0" applyBorder="1"/>
    <xf numFmtId="0" fontId="4" fillId="0" borderId="0" xfId="0" applyFont="1" applyAlignment="1">
      <alignment vertical="center" wrapText="1"/>
    </xf>
    <xf numFmtId="0" fontId="0" fillId="0" borderId="93" xfId="0" applyBorder="1"/>
    <xf numFmtId="0" fontId="0" fillId="0" borderId="0" xfId="0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97" xfId="0" applyBorder="1"/>
    <xf numFmtId="0" fontId="0" fillId="0" borderId="98" xfId="0" applyBorder="1"/>
    <xf numFmtId="0" fontId="0" fillId="0" borderId="99" xfId="0" applyBorder="1"/>
    <xf numFmtId="0" fontId="0" fillId="0" borderId="100" xfId="0" applyBorder="1"/>
    <xf numFmtId="0" fontId="0" fillId="0" borderId="103" xfId="0" applyBorder="1"/>
    <xf numFmtId="0" fontId="0" fillId="0" borderId="103" xfId="0" applyBorder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0" fillId="0" borderId="0" xfId="0" applyAlignment="1">
      <alignment vertical="center"/>
    </xf>
    <xf numFmtId="0" fontId="13" fillId="0" borderId="0" xfId="0" applyFont="1" applyAlignment="1">
      <alignment horizontal="center" vertical="center" wrapText="1"/>
    </xf>
    <xf numFmtId="0" fontId="13" fillId="0" borderId="108" xfId="0" applyFont="1" applyBorder="1" applyAlignment="1">
      <alignment horizontal="center" vertical="center" wrapText="1"/>
    </xf>
    <xf numFmtId="0" fontId="14" fillId="0" borderId="110" xfId="0" applyFont="1" applyBorder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4" fillId="0" borderId="108" xfId="0" applyFont="1" applyBorder="1" applyAlignment="1">
      <alignment horizontal="center" vertical="center" wrapText="1"/>
    </xf>
    <xf numFmtId="0" fontId="9" fillId="6" borderId="110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17" fillId="0" borderId="108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8" fillId="0" borderId="3" xfId="0" applyNumberFormat="1" applyFont="1" applyBorder="1" applyAlignment="1">
      <alignment horizontal="center" vertical="center" wrapText="1"/>
    </xf>
    <xf numFmtId="3" fontId="18" fillId="0" borderId="4" xfId="0" applyNumberFormat="1" applyFont="1" applyBorder="1" applyAlignment="1">
      <alignment horizontal="center" vertical="center" wrapText="1"/>
    </xf>
    <xf numFmtId="3" fontId="18" fillId="0" borderId="23" xfId="0" applyNumberFormat="1" applyFont="1" applyBorder="1" applyAlignment="1">
      <alignment horizontal="center" vertical="center" wrapText="1"/>
    </xf>
    <xf numFmtId="3" fontId="18" fillId="0" borderId="24" xfId="0" applyNumberFormat="1" applyFont="1" applyBorder="1" applyAlignment="1">
      <alignment horizontal="center" vertical="center" wrapText="1"/>
    </xf>
    <xf numFmtId="3" fontId="18" fillId="0" borderId="27" xfId="0" applyNumberFormat="1" applyFont="1" applyBorder="1" applyAlignment="1">
      <alignment horizontal="center" vertical="center" wrapText="1"/>
    </xf>
    <xf numFmtId="3" fontId="18" fillId="0" borderId="28" xfId="0" applyNumberFormat="1" applyFont="1" applyBorder="1" applyAlignment="1">
      <alignment horizontal="center" vertical="center" wrapText="1"/>
    </xf>
    <xf numFmtId="165" fontId="18" fillId="0" borderId="27" xfId="0" applyNumberFormat="1" applyFont="1" applyBorder="1" applyAlignment="1">
      <alignment horizontal="center" vertical="center" wrapText="1"/>
    </xf>
    <xf numFmtId="165" fontId="18" fillId="0" borderId="28" xfId="0" applyNumberFormat="1" applyFont="1" applyBorder="1" applyAlignment="1">
      <alignment horizontal="center" vertical="center" wrapText="1"/>
    </xf>
    <xf numFmtId="3" fontId="18" fillId="0" borderId="48" xfId="0" applyNumberFormat="1" applyFont="1" applyBorder="1" applyAlignment="1">
      <alignment horizontal="center" vertical="center" wrapText="1"/>
    </xf>
    <xf numFmtId="3" fontId="18" fillId="0" borderId="49" xfId="0" applyNumberFormat="1" applyFont="1" applyBorder="1" applyAlignment="1">
      <alignment horizontal="center" vertical="center" wrapText="1"/>
    </xf>
    <xf numFmtId="3" fontId="18" fillId="0" borderId="59" xfId="0" applyNumberFormat="1" applyFont="1" applyBorder="1" applyAlignment="1">
      <alignment horizontal="center" vertical="center" wrapText="1"/>
    </xf>
    <xf numFmtId="3" fontId="18" fillId="0" borderId="60" xfId="0" applyNumberFormat="1" applyFont="1" applyBorder="1" applyAlignment="1">
      <alignment horizontal="center" vertical="center" wrapText="1"/>
    </xf>
    <xf numFmtId="3" fontId="18" fillId="0" borderId="44" xfId="0" applyNumberFormat="1" applyFont="1" applyBorder="1" applyAlignment="1">
      <alignment horizontal="center" vertical="center" wrapText="1"/>
    </xf>
    <xf numFmtId="3" fontId="18" fillId="0" borderId="45" xfId="0" applyNumberFormat="1" applyFont="1" applyBorder="1" applyAlignment="1">
      <alignment horizontal="center" vertical="center" wrapText="1"/>
    </xf>
    <xf numFmtId="3" fontId="18" fillId="0" borderId="63" xfId="0" applyNumberFormat="1" applyFont="1" applyBorder="1" applyAlignment="1">
      <alignment horizontal="center" vertical="center" wrapText="1"/>
    </xf>
    <xf numFmtId="3" fontId="18" fillId="0" borderId="64" xfId="0" applyNumberFormat="1" applyFont="1" applyBorder="1" applyAlignment="1">
      <alignment horizontal="center" vertical="center" wrapText="1"/>
    </xf>
    <xf numFmtId="3" fontId="18" fillId="0" borderId="9" xfId="0" applyNumberFormat="1" applyFont="1" applyBorder="1" applyAlignment="1">
      <alignment horizontal="center" vertical="center" wrapText="1"/>
    </xf>
    <xf numFmtId="3" fontId="18" fillId="0" borderId="10" xfId="0" applyNumberFormat="1" applyFont="1" applyBorder="1" applyAlignment="1">
      <alignment horizontal="center" vertical="center" wrapText="1"/>
    </xf>
    <xf numFmtId="3" fontId="18" fillId="0" borderId="119" xfId="0" applyNumberFormat="1" applyFont="1" applyBorder="1" applyAlignment="1">
      <alignment horizontal="center" vertical="center" wrapText="1"/>
    </xf>
    <xf numFmtId="3" fontId="18" fillId="0" borderId="72" xfId="0" applyNumberFormat="1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57" xfId="0" applyFont="1" applyBorder="1" applyAlignment="1">
      <alignment horizontal="center" vertical="center" wrapText="1"/>
    </xf>
    <xf numFmtId="0" fontId="1" fillId="0" borderId="58" xfId="0" applyFont="1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0" fontId="1" fillId="0" borderId="145" xfId="0" applyFont="1" applyBorder="1" applyAlignment="1">
      <alignment horizontal="center" vertical="center" wrapText="1"/>
    </xf>
    <xf numFmtId="0" fontId="1" fillId="0" borderId="146" xfId="0" applyFont="1" applyBorder="1" applyAlignment="1">
      <alignment horizontal="center" vertical="center" wrapText="1"/>
    </xf>
    <xf numFmtId="0" fontId="0" fillId="0" borderId="98" xfId="0" applyBorder="1" applyAlignment="1">
      <alignment horizontal="center" vertical="center"/>
    </xf>
    <xf numFmtId="0" fontId="0" fillId="0" borderId="104" xfId="0" applyBorder="1"/>
    <xf numFmtId="0" fontId="0" fillId="0" borderId="104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65" fontId="19" fillId="0" borderId="0" xfId="0" applyNumberFormat="1" applyFont="1" applyAlignment="1">
      <alignment horizontal="center" vertical="center" wrapText="1"/>
    </xf>
    <xf numFmtId="3" fontId="18" fillId="0" borderId="0" xfId="0" applyNumberFormat="1" applyFont="1" applyAlignment="1">
      <alignment horizontal="center" vertical="center" wrapText="1"/>
    </xf>
    <xf numFmtId="0" fontId="10" fillId="0" borderId="0" xfId="0" applyFont="1"/>
    <xf numFmtId="0" fontId="0" fillId="7" borderId="0" xfId="0" applyFill="1" applyAlignment="1">
      <alignment horizontal="left" vertical="center"/>
    </xf>
    <xf numFmtId="0" fontId="0" fillId="0" borderId="51" xfId="0" applyBorder="1" applyAlignment="1">
      <alignment horizontal="center" vertical="center"/>
    </xf>
    <xf numFmtId="0" fontId="2" fillId="2" borderId="147" xfId="0" applyFont="1" applyFill="1" applyBorder="1" applyAlignment="1">
      <alignment horizontal="center" vertical="center" wrapText="1"/>
    </xf>
    <xf numFmtId="3" fontId="22" fillId="0" borderId="147" xfId="0" applyNumberFormat="1" applyFont="1" applyBorder="1" applyAlignment="1">
      <alignment horizontal="center" vertical="center" wrapText="1"/>
    </xf>
    <xf numFmtId="165" fontId="18" fillId="0" borderId="0" xfId="0" applyNumberFormat="1" applyFont="1" applyAlignment="1">
      <alignment horizontal="center" vertical="center" wrapText="1"/>
    </xf>
    <xf numFmtId="165" fontId="22" fillId="0" borderId="147" xfId="0" applyNumberFormat="1" applyFont="1" applyBorder="1" applyAlignment="1">
      <alignment horizontal="center" vertical="center" wrapText="1"/>
    </xf>
    <xf numFmtId="0" fontId="2" fillId="3" borderId="150" xfId="0" applyFont="1" applyFill="1" applyBorder="1" applyAlignment="1">
      <alignment horizontal="center" vertical="center" wrapText="1"/>
    </xf>
    <xf numFmtId="3" fontId="22" fillId="0" borderId="150" xfId="0" applyNumberFormat="1" applyFont="1" applyBorder="1" applyAlignment="1">
      <alignment horizontal="center" vertical="center" wrapText="1"/>
    </xf>
    <xf numFmtId="3" fontId="22" fillId="0" borderId="151" xfId="0" applyNumberFormat="1" applyFont="1" applyBorder="1" applyAlignment="1">
      <alignment horizontal="center" vertical="center" wrapText="1"/>
    </xf>
    <xf numFmtId="0" fontId="2" fillId="4" borderId="151" xfId="0" applyFont="1" applyFill="1" applyBorder="1" applyAlignment="1">
      <alignment horizontal="center" vertical="center" wrapText="1"/>
    </xf>
    <xf numFmtId="3" fontId="18" fillId="0" borderId="153" xfId="0" applyNumberFormat="1" applyFont="1" applyBorder="1" applyAlignment="1">
      <alignment horizontal="center" vertical="center" wrapText="1"/>
    </xf>
    <xf numFmtId="3" fontId="18" fillId="0" borderId="154" xfId="0" applyNumberFormat="1" applyFont="1" applyBorder="1" applyAlignment="1">
      <alignment horizontal="center" vertical="center" wrapText="1"/>
    </xf>
    <xf numFmtId="0" fontId="2" fillId="5" borderId="152" xfId="0" applyFont="1" applyFill="1" applyBorder="1" applyAlignment="1">
      <alignment horizontal="center" vertical="center" wrapText="1"/>
    </xf>
    <xf numFmtId="3" fontId="22" fillId="0" borderId="152" xfId="0" applyNumberFormat="1" applyFont="1" applyBorder="1" applyAlignment="1">
      <alignment horizontal="center" vertical="center" wrapText="1"/>
    </xf>
    <xf numFmtId="0" fontId="2" fillId="9" borderId="155" xfId="0" applyFont="1" applyFill="1" applyBorder="1" applyAlignment="1">
      <alignment horizontal="center" vertical="center" wrapText="1"/>
    </xf>
    <xf numFmtId="3" fontId="22" fillId="0" borderId="155" xfId="0" applyNumberFormat="1" applyFont="1" applyBorder="1" applyAlignment="1">
      <alignment horizontal="center" vertical="center" wrapText="1"/>
    </xf>
    <xf numFmtId="0" fontId="21" fillId="7" borderId="0" xfId="0" applyFont="1" applyFill="1" applyAlignment="1">
      <alignment horizontal="center" vertical="center"/>
    </xf>
    <xf numFmtId="0" fontId="21" fillId="10" borderId="0" xfId="0" applyFont="1" applyFill="1" applyAlignment="1">
      <alignment vertical="center"/>
    </xf>
    <xf numFmtId="0" fontId="0" fillId="10" borderId="0" xfId="0" applyFill="1" applyAlignment="1">
      <alignment horizontal="left" vertical="center"/>
    </xf>
    <xf numFmtId="167" fontId="21" fillId="10" borderId="0" xfId="2" applyNumberFormat="1" applyFont="1" applyFill="1" applyAlignment="1">
      <alignment vertical="center"/>
    </xf>
    <xf numFmtId="167" fontId="21" fillId="7" borderId="0" xfId="2" applyNumberFormat="1" applyFont="1" applyFill="1" applyAlignment="1">
      <alignment horizontal="center" vertical="center"/>
    </xf>
    <xf numFmtId="167" fontId="0" fillId="0" borderId="0" xfId="2" applyNumberFormat="1" applyFont="1" applyAlignment="1">
      <alignment horizontal="center" vertical="center"/>
    </xf>
    <xf numFmtId="167" fontId="9" fillId="6" borderId="110" xfId="2" applyNumberFormat="1" applyFont="1" applyFill="1" applyBorder="1" applyAlignment="1">
      <alignment horizontal="center" vertical="center"/>
    </xf>
    <xf numFmtId="167" fontId="15" fillId="0" borderId="108" xfId="2" applyNumberFormat="1" applyFont="1" applyFill="1" applyBorder="1" applyAlignment="1">
      <alignment horizontal="center" vertical="center"/>
    </xf>
    <xf numFmtId="167" fontId="0" fillId="0" borderId="108" xfId="2" applyNumberFormat="1" applyFont="1" applyFill="1" applyBorder="1" applyAlignment="1">
      <alignment horizontal="center" vertical="center"/>
    </xf>
    <xf numFmtId="167" fontId="10" fillId="0" borderId="108" xfId="2" applyNumberFormat="1" applyFont="1" applyFill="1" applyBorder="1" applyAlignment="1">
      <alignment horizontal="center" vertical="center"/>
    </xf>
    <xf numFmtId="0" fontId="5" fillId="0" borderId="100" xfId="0" applyFont="1" applyBorder="1" applyAlignment="1">
      <alignment horizontal="center" vertical="center"/>
    </xf>
    <xf numFmtId="0" fontId="5" fillId="0" borderId="141" xfId="0" applyFont="1" applyBorder="1" applyAlignment="1">
      <alignment horizontal="center" vertical="center"/>
    </xf>
    <xf numFmtId="4" fontId="18" fillId="0" borderId="3" xfId="0" applyNumberFormat="1" applyFont="1" applyBorder="1" applyAlignment="1">
      <alignment horizontal="center" vertical="center" wrapText="1"/>
    </xf>
    <xf numFmtId="4" fontId="18" fillId="0" borderId="4" xfId="0" applyNumberFormat="1" applyFont="1" applyBorder="1" applyAlignment="1">
      <alignment horizontal="center" vertical="center" wrapText="1"/>
    </xf>
    <xf numFmtId="4" fontId="18" fillId="0" borderId="9" xfId="0" applyNumberFormat="1" applyFont="1" applyBorder="1" applyAlignment="1">
      <alignment horizontal="center" vertical="center" wrapText="1"/>
    </xf>
    <xf numFmtId="4" fontId="18" fillId="0" borderId="10" xfId="0" applyNumberFormat="1" applyFont="1" applyBorder="1" applyAlignment="1">
      <alignment horizontal="center" vertical="center" wrapText="1"/>
    </xf>
    <xf numFmtId="9" fontId="18" fillId="0" borderId="3" xfId="1" applyFont="1" applyBorder="1" applyAlignment="1">
      <alignment horizontal="center" vertical="center" wrapText="1"/>
    </xf>
    <xf numFmtId="9" fontId="18" fillId="0" borderId="4" xfId="1" applyFont="1" applyBorder="1" applyAlignment="1">
      <alignment horizontal="center" vertical="center" wrapText="1"/>
    </xf>
    <xf numFmtId="43" fontId="2" fillId="2" borderId="147" xfId="2" applyFont="1" applyFill="1" applyBorder="1" applyAlignment="1">
      <alignment horizontal="center" vertical="center" wrapText="1"/>
    </xf>
    <xf numFmtId="4" fontId="22" fillId="0" borderId="147" xfId="0" applyNumberFormat="1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61" xfId="0" applyFont="1" applyBorder="1" applyAlignment="1">
      <alignment horizontal="center" vertical="center" wrapText="1"/>
    </xf>
    <xf numFmtId="0" fontId="1" fillId="0" borderId="62" xfId="0" applyFont="1" applyBorder="1" applyAlignment="1">
      <alignment horizontal="center" vertical="center" wrapText="1"/>
    </xf>
    <xf numFmtId="3" fontId="22" fillId="0" borderId="118" xfId="0" applyNumberFormat="1" applyFont="1" applyBorder="1" applyAlignment="1">
      <alignment horizontal="center" vertical="center" wrapText="1"/>
    </xf>
    <xf numFmtId="0" fontId="0" fillId="0" borderId="158" xfId="0" applyBorder="1"/>
    <xf numFmtId="0" fontId="0" fillId="0" borderId="159" xfId="0" applyBorder="1"/>
    <xf numFmtId="0" fontId="0" fillId="0" borderId="161" xfId="0" applyBorder="1"/>
    <xf numFmtId="0" fontId="5" fillId="0" borderId="93" xfId="0" applyFont="1" applyBorder="1"/>
    <xf numFmtId="0" fontId="0" fillId="0" borderId="160" xfId="0" applyBorder="1"/>
    <xf numFmtId="0" fontId="0" fillId="0" borderId="162" xfId="0" applyBorder="1"/>
    <xf numFmtId="3" fontId="22" fillId="0" borderId="166" xfId="0" applyNumberFormat="1" applyFont="1" applyBorder="1" applyAlignment="1">
      <alignment horizontal="center" vertical="center" wrapText="1"/>
    </xf>
    <xf numFmtId="0" fontId="2" fillId="0" borderId="118" xfId="0" applyFont="1" applyBorder="1" applyAlignment="1">
      <alignment horizontal="center" vertical="center" wrapText="1"/>
    </xf>
    <xf numFmtId="0" fontId="0" fillId="0" borderId="167" xfId="0" applyBorder="1"/>
    <xf numFmtId="0" fontId="2" fillId="3" borderId="33" xfId="0" applyFont="1" applyFill="1" applyBorder="1" applyAlignment="1">
      <alignment horizontal="center" vertical="center" wrapText="1"/>
    </xf>
    <xf numFmtId="3" fontId="22" fillId="0" borderId="33" xfId="0" applyNumberFormat="1" applyFont="1" applyBorder="1" applyAlignment="1">
      <alignment horizontal="center" vertical="center" wrapText="1"/>
    </xf>
    <xf numFmtId="43" fontId="1" fillId="0" borderId="0" xfId="2" applyFont="1" applyFill="1" applyBorder="1" applyAlignment="1">
      <alignment vertical="center" wrapText="1"/>
    </xf>
    <xf numFmtId="3" fontId="0" fillId="0" borderId="0" xfId="0" applyNumberFormat="1"/>
    <xf numFmtId="164" fontId="0" fillId="0" borderId="0" xfId="0" applyNumberFormat="1"/>
    <xf numFmtId="43" fontId="0" fillId="0" borderId="0" xfId="2" applyFont="1" applyFill="1"/>
    <xf numFmtId="0" fontId="2" fillId="0" borderId="16" xfId="0" applyFont="1" applyBorder="1" applyAlignment="1">
      <alignment horizontal="center" vertical="center" wrapText="1"/>
    </xf>
    <xf numFmtId="3" fontId="22" fillId="0" borderId="16" xfId="0" applyNumberFormat="1" applyFont="1" applyBorder="1" applyAlignment="1">
      <alignment horizontal="center" vertical="center" wrapText="1"/>
    </xf>
    <xf numFmtId="3" fontId="27" fillId="0" borderId="9" xfId="0" applyNumberFormat="1" applyFont="1" applyBorder="1" applyAlignment="1">
      <alignment horizontal="center" vertical="center" wrapText="1"/>
    </xf>
    <xf numFmtId="3" fontId="27" fillId="0" borderId="10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28" fillId="0" borderId="0" xfId="0" applyFont="1" applyAlignment="1">
      <alignment horizontal="left" vertical="center" wrapText="1"/>
    </xf>
    <xf numFmtId="166" fontId="0" fillId="0" borderId="0" xfId="1" applyNumberFormat="1" applyFont="1" applyFill="1" applyBorder="1"/>
    <xf numFmtId="0" fontId="24" fillId="0" borderId="0" xfId="0" applyFont="1" applyAlignment="1">
      <alignment wrapText="1"/>
    </xf>
    <xf numFmtId="0" fontId="24" fillId="0" borderId="156" xfId="0" applyFont="1" applyBorder="1" applyAlignment="1">
      <alignment wrapText="1"/>
    </xf>
    <xf numFmtId="0" fontId="34" fillId="0" borderId="156" xfId="0" applyFont="1" applyBorder="1" applyAlignment="1">
      <alignment vertical="center" wrapText="1"/>
    </xf>
    <xf numFmtId="167" fontId="0" fillId="0" borderId="108" xfId="2" applyNumberFormat="1" applyFont="1" applyFill="1" applyBorder="1" applyAlignment="1">
      <alignment horizontal="right" vertical="center"/>
    </xf>
    <xf numFmtId="167" fontId="16" fillId="0" borderId="108" xfId="2" applyNumberFormat="1" applyFont="1" applyFill="1" applyBorder="1" applyAlignment="1">
      <alignment horizontal="right" vertical="center"/>
    </xf>
    <xf numFmtId="167" fontId="10" fillId="0" borderId="108" xfId="2" applyNumberFormat="1" applyFont="1" applyFill="1" applyBorder="1" applyAlignment="1">
      <alignment horizontal="right" vertical="center"/>
    </xf>
    <xf numFmtId="168" fontId="16" fillId="0" borderId="108" xfId="2" applyNumberFormat="1" applyFont="1" applyFill="1" applyBorder="1" applyAlignment="1">
      <alignment horizontal="right" vertical="center"/>
    </xf>
    <xf numFmtId="9" fontId="16" fillId="0" borderId="108" xfId="1" applyFont="1" applyFill="1" applyBorder="1" applyAlignment="1">
      <alignment horizontal="right" vertical="center"/>
    </xf>
    <xf numFmtId="43" fontId="16" fillId="0" borderId="108" xfId="2" applyFont="1" applyFill="1" applyBorder="1" applyAlignment="1">
      <alignment horizontal="right" vertical="center"/>
    </xf>
    <xf numFmtId="167" fontId="15" fillId="0" borderId="108" xfId="2" applyNumberFormat="1" applyFont="1" applyFill="1" applyBorder="1" applyAlignment="1">
      <alignment horizontal="right" vertical="center"/>
    </xf>
    <xf numFmtId="167" fontId="9" fillId="6" borderId="110" xfId="2" applyNumberFormat="1" applyFont="1" applyFill="1" applyBorder="1" applyAlignment="1">
      <alignment horizontal="right" vertical="center"/>
    </xf>
    <xf numFmtId="9" fontId="0" fillId="0" borderId="0" xfId="1" applyFont="1"/>
    <xf numFmtId="0" fontId="2" fillId="14" borderId="172" xfId="0" applyFont="1" applyFill="1" applyBorder="1" applyAlignment="1">
      <alignment horizontal="center" vertical="center" wrapText="1"/>
    </xf>
    <xf numFmtId="3" fontId="22" fillId="0" borderId="172" xfId="0" applyNumberFormat="1" applyFont="1" applyBorder="1" applyAlignment="1">
      <alignment horizontal="center" vertical="center" wrapText="1"/>
    </xf>
    <xf numFmtId="0" fontId="2" fillId="4" borderId="174" xfId="0" applyFont="1" applyFill="1" applyBorder="1" applyAlignment="1">
      <alignment horizontal="center" vertical="center" wrapText="1"/>
    </xf>
    <xf numFmtId="3" fontId="22" fillId="0" borderId="174" xfId="0" applyNumberFormat="1" applyFont="1" applyBorder="1" applyAlignment="1">
      <alignment horizontal="center" vertical="center" wrapText="1"/>
    </xf>
    <xf numFmtId="3" fontId="18" fillId="0" borderId="165" xfId="0" applyNumberFormat="1" applyFont="1" applyBorder="1" applyAlignment="1">
      <alignment horizontal="center" vertical="center" wrapText="1"/>
    </xf>
    <xf numFmtId="3" fontId="18" fillId="0" borderId="164" xfId="0" applyNumberFormat="1" applyFont="1" applyBorder="1" applyAlignment="1">
      <alignment horizontal="center" vertical="center" wrapText="1"/>
    </xf>
    <xf numFmtId="0" fontId="10" fillId="6" borderId="110" xfId="0" applyFont="1" applyFill="1" applyBorder="1" applyAlignment="1">
      <alignment horizontal="center" vertical="center" wrapText="1"/>
    </xf>
    <xf numFmtId="167" fontId="10" fillId="6" borderId="110" xfId="2" applyNumberFormat="1" applyFont="1" applyFill="1" applyBorder="1" applyAlignment="1">
      <alignment horizontal="center" vertical="center"/>
    </xf>
    <xf numFmtId="0" fontId="24" fillId="11" borderId="144" xfId="0" applyFont="1" applyFill="1" applyBorder="1" applyAlignment="1" applyProtection="1">
      <alignment horizontal="center" vertical="center"/>
      <protection locked="0"/>
    </xf>
    <xf numFmtId="0" fontId="24" fillId="7" borderId="144" xfId="0" applyFont="1" applyFill="1" applyBorder="1" applyAlignment="1" applyProtection="1">
      <alignment horizontal="center"/>
      <protection locked="0"/>
    </xf>
    <xf numFmtId="0" fontId="24" fillId="11" borderId="144" xfId="0" applyFont="1" applyFill="1" applyBorder="1" applyAlignment="1" applyProtection="1">
      <alignment horizontal="center"/>
      <protection locked="0"/>
    </xf>
    <xf numFmtId="0" fontId="26" fillId="11" borderId="144" xfId="0" applyFont="1" applyFill="1" applyBorder="1" applyAlignment="1" applyProtection="1">
      <alignment horizontal="center"/>
      <protection locked="0"/>
    </xf>
    <xf numFmtId="0" fontId="38" fillId="17" borderId="144" xfId="0" applyFont="1" applyFill="1" applyBorder="1" applyAlignment="1">
      <alignment horizontal="center" vertical="center"/>
    </xf>
    <xf numFmtId="0" fontId="38" fillId="17" borderId="144" xfId="0" applyFont="1" applyFill="1" applyBorder="1" applyAlignment="1">
      <alignment horizontal="left" vertical="center" wrapText="1"/>
    </xf>
    <xf numFmtId="9" fontId="10" fillId="0" borderId="108" xfId="1" applyFont="1" applyFill="1" applyBorder="1" applyAlignment="1">
      <alignment horizontal="right" vertical="center"/>
    </xf>
    <xf numFmtId="0" fontId="15" fillId="0" borderId="108" xfId="0" applyFont="1" applyBorder="1" applyAlignment="1">
      <alignment horizontal="left" vertical="center" indent="1"/>
    </xf>
    <xf numFmtId="0" fontId="0" fillId="0" borderId="108" xfId="0" applyBorder="1" applyAlignment="1">
      <alignment horizontal="left" vertical="center" indent="2"/>
    </xf>
    <xf numFmtId="0" fontId="16" fillId="0" borderId="108" xfId="0" applyFont="1" applyBorder="1" applyAlignment="1">
      <alignment horizontal="left" vertical="center" indent="3"/>
    </xf>
    <xf numFmtId="0" fontId="17" fillId="0" borderId="109" xfId="0" applyFont="1" applyBorder="1" applyAlignment="1">
      <alignment horizontal="center" vertical="center" wrapText="1"/>
    </xf>
    <xf numFmtId="0" fontId="0" fillId="0" borderId="114" xfId="0" applyBorder="1" applyAlignment="1">
      <alignment horizontal="center" vertical="center"/>
    </xf>
    <xf numFmtId="0" fontId="9" fillId="0" borderId="110" xfId="0" applyFont="1" applyBorder="1" applyAlignment="1">
      <alignment horizontal="left" vertical="center"/>
    </xf>
    <xf numFmtId="0" fontId="7" fillId="0" borderId="108" xfId="0" applyFont="1" applyBorder="1" applyAlignment="1">
      <alignment horizontal="left" vertical="center" indent="1"/>
    </xf>
    <xf numFmtId="0" fontId="16" fillId="0" borderId="108" xfId="0" applyFont="1" applyBorder="1" applyAlignment="1">
      <alignment horizontal="left" vertical="center" indent="2"/>
    </xf>
    <xf numFmtId="0" fontId="16" fillId="0" borderId="109" xfId="0" applyFont="1" applyBorder="1" applyAlignment="1">
      <alignment horizontal="left" vertical="center" indent="3"/>
    </xf>
    <xf numFmtId="0" fontId="10" fillId="0" borderId="110" xfId="0" applyFont="1" applyBorder="1" applyAlignment="1">
      <alignment horizontal="left" vertical="center"/>
    </xf>
    <xf numFmtId="0" fontId="38" fillId="0" borderId="144" xfId="0" applyFont="1" applyBorder="1" applyAlignment="1">
      <alignment horizontal="center" vertical="center"/>
    </xf>
    <xf numFmtId="1" fontId="38" fillId="0" borderId="144" xfId="0" applyNumberFormat="1" applyFont="1" applyBorder="1" applyAlignment="1">
      <alignment horizontal="center" vertical="center"/>
    </xf>
    <xf numFmtId="0" fontId="26" fillId="0" borderId="144" xfId="0" applyFont="1" applyBorder="1" applyAlignment="1" applyProtection="1">
      <alignment horizontal="center" vertical="center"/>
      <protection locked="0"/>
    </xf>
    <xf numFmtId="0" fontId="26" fillId="7" borderId="144" xfId="0" applyFont="1" applyFill="1" applyBorder="1" applyAlignment="1" applyProtection="1">
      <alignment horizontal="center"/>
      <protection locked="0"/>
    </xf>
    <xf numFmtId="0" fontId="26" fillId="11" borderId="144" xfId="0" applyFont="1" applyFill="1" applyBorder="1" applyAlignment="1" applyProtection="1">
      <alignment horizontal="center" vertical="center" wrapText="1"/>
      <protection locked="0"/>
    </xf>
    <xf numFmtId="0" fontId="26" fillId="7" borderId="144" xfId="0" applyFont="1" applyFill="1" applyBorder="1" applyAlignment="1" applyProtection="1">
      <alignment horizontal="center" vertical="center"/>
      <protection locked="0"/>
    </xf>
    <xf numFmtId="0" fontId="26" fillId="11" borderId="144" xfId="0" applyFont="1" applyFill="1" applyBorder="1" applyAlignment="1" applyProtection="1">
      <alignment horizontal="center" vertical="center"/>
      <protection locked="0"/>
    </xf>
    <xf numFmtId="9" fontId="0" fillId="0" borderId="0" xfId="1" applyFont="1" applyAlignment="1">
      <alignment vertical="center"/>
    </xf>
    <xf numFmtId="0" fontId="5" fillId="0" borderId="77" xfId="0" applyFont="1" applyBorder="1" applyAlignment="1">
      <alignment horizontal="center" vertical="center"/>
    </xf>
    <xf numFmtId="43" fontId="1" fillId="0" borderId="0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7" fontId="0" fillId="0" borderId="0" xfId="0" applyNumberFormat="1" applyAlignment="1">
      <alignment vertical="center"/>
    </xf>
    <xf numFmtId="0" fontId="43" fillId="0" borderId="108" xfId="0" applyFont="1" applyBorder="1" applyAlignment="1">
      <alignment horizontal="center" vertical="center" wrapText="1"/>
    </xf>
    <xf numFmtId="0" fontId="44" fillId="0" borderId="108" xfId="0" applyFont="1" applyBorder="1" applyAlignment="1">
      <alignment horizontal="center" vertical="center" wrapText="1"/>
    </xf>
    <xf numFmtId="9" fontId="45" fillId="0" borderId="108" xfId="1" applyFont="1" applyFill="1" applyBorder="1" applyAlignment="1">
      <alignment horizontal="right" vertical="center"/>
    </xf>
    <xf numFmtId="9" fontId="15" fillId="0" borderId="108" xfId="1" applyFont="1" applyFill="1" applyBorder="1" applyAlignment="1">
      <alignment horizontal="right" vertical="center"/>
    </xf>
    <xf numFmtId="43" fontId="45" fillId="0" borderId="108" xfId="2" applyFont="1" applyFill="1" applyBorder="1" applyAlignment="1">
      <alignment horizontal="right" vertical="center"/>
    </xf>
    <xf numFmtId="0" fontId="45" fillId="0" borderId="0" xfId="0" applyFont="1" applyAlignment="1">
      <alignment vertical="center"/>
    </xf>
    <xf numFmtId="0" fontId="0" fillId="0" borderId="94" xfId="0" applyBorder="1"/>
    <xf numFmtId="0" fontId="5" fillId="0" borderId="79" xfId="0" applyFont="1" applyBorder="1" applyAlignment="1">
      <alignment vertical="center"/>
    </xf>
    <xf numFmtId="0" fontId="0" fillId="0" borderId="16" xfId="0" applyBorder="1"/>
    <xf numFmtId="0" fontId="0" fillId="0" borderId="15" xfId="0" applyBorder="1"/>
    <xf numFmtId="0" fontId="0" fillId="0" borderId="79" xfId="0" applyBorder="1"/>
    <xf numFmtId="0" fontId="0" fillId="0" borderId="14" xfId="0" applyBorder="1"/>
    <xf numFmtId="0" fontId="5" fillId="0" borderId="92" xfId="0" applyFont="1" applyBorder="1" applyAlignment="1">
      <alignment vertical="center"/>
    </xf>
    <xf numFmtId="4" fontId="26" fillId="8" borderId="144" xfId="0" applyNumberFormat="1" applyFont="1" applyFill="1" applyBorder="1" applyAlignment="1" applyProtection="1">
      <alignment horizontal="center" vertical="center" wrapText="1"/>
      <protection locked="0"/>
    </xf>
    <xf numFmtId="4" fontId="24" fillId="8" borderId="144" xfId="0" applyNumberFormat="1" applyFont="1" applyFill="1" applyBorder="1" applyAlignment="1" applyProtection="1">
      <alignment horizontal="center" vertical="center"/>
      <protection locked="0"/>
    </xf>
    <xf numFmtId="0" fontId="24" fillId="11" borderId="144" xfId="0" applyFont="1" applyFill="1" applyBorder="1" applyAlignment="1">
      <alignment horizontal="center" vertical="center"/>
    </xf>
    <xf numFmtId="0" fontId="24" fillId="7" borderId="144" xfId="0" applyFont="1" applyFill="1" applyBorder="1" applyAlignment="1">
      <alignment horizontal="center"/>
    </xf>
    <xf numFmtId="0" fontId="24" fillId="15" borderId="144" xfId="0" applyFont="1" applyFill="1" applyBorder="1" applyAlignment="1">
      <alignment horizontal="center" vertical="center"/>
    </xf>
    <xf numFmtId="0" fontId="24" fillId="8" borderId="144" xfId="0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24" fillId="0" borderId="156" xfId="0" applyFont="1" applyBorder="1" applyAlignment="1">
      <alignment horizontal="center" vertical="center"/>
    </xf>
    <xf numFmtId="0" fontId="24" fillId="7" borderId="0" xfId="0" applyFont="1" applyFill="1" applyAlignment="1">
      <alignment horizontal="center" vertical="center"/>
    </xf>
    <xf numFmtId="0" fontId="24" fillId="7" borderId="0" xfId="0" applyFont="1" applyFill="1" applyAlignment="1">
      <alignment horizontal="left" vertical="center"/>
    </xf>
    <xf numFmtId="0" fontId="24" fillId="7" borderId="0" xfId="0" applyFont="1" applyFill="1"/>
    <xf numFmtId="0" fontId="26" fillId="12" borderId="144" xfId="0" applyFont="1" applyFill="1" applyBorder="1" applyAlignment="1">
      <alignment horizontal="center" vertical="center"/>
    </xf>
    <xf numFmtId="0" fontId="26" fillId="12" borderId="144" xfId="0" applyFont="1" applyFill="1" applyBorder="1" applyAlignment="1">
      <alignment horizontal="center" vertical="center" wrapText="1"/>
    </xf>
    <xf numFmtId="0" fontId="26" fillId="0" borderId="144" xfId="0" applyFont="1" applyBorder="1" applyAlignment="1">
      <alignment horizontal="center" vertical="center" wrapText="1"/>
    </xf>
    <xf numFmtId="0" fontId="24" fillId="0" borderId="144" xfId="0" applyFont="1" applyBorder="1" applyAlignment="1">
      <alignment horizontal="center" vertical="center"/>
    </xf>
    <xf numFmtId="0" fontId="24" fillId="16" borderId="144" xfId="0" applyFont="1" applyFill="1" applyBorder="1" applyAlignment="1">
      <alignment horizontal="left" vertical="center" wrapText="1"/>
    </xf>
    <xf numFmtId="0" fontId="24" fillId="7" borderId="144" xfId="0" applyFont="1" applyFill="1" applyBorder="1" applyAlignment="1">
      <alignment horizontal="center" vertical="center"/>
    </xf>
    <xf numFmtId="49" fontId="29" fillId="15" borderId="114" xfId="0" applyNumberFormat="1" applyFont="1" applyFill="1" applyBorder="1" applyAlignment="1">
      <alignment vertical="center"/>
    </xf>
    <xf numFmtId="49" fontId="29" fillId="15" borderId="116" xfId="0" applyNumberFormat="1" applyFont="1" applyFill="1" applyBorder="1" applyAlignment="1">
      <alignment vertical="center" wrapText="1"/>
    </xf>
    <xf numFmtId="0" fontId="24" fillId="7" borderId="144" xfId="0" applyFont="1" applyFill="1" applyBorder="1" applyAlignment="1">
      <alignment horizontal="left" vertical="center" wrapText="1"/>
    </xf>
    <xf numFmtId="0" fontId="24" fillId="0" borderId="144" xfId="0" applyFont="1" applyBorder="1" applyAlignment="1">
      <alignment horizontal="left" vertical="center" wrapText="1"/>
    </xf>
    <xf numFmtId="49" fontId="24" fillId="0" borderId="144" xfId="0" applyNumberFormat="1" applyFont="1" applyBorder="1" applyAlignment="1">
      <alignment horizontal="center" vertical="center"/>
    </xf>
    <xf numFmtId="0" fontId="24" fillId="0" borderId="171" xfId="0" applyFont="1" applyBorder="1"/>
    <xf numFmtId="0" fontId="24" fillId="0" borderId="144" xfId="0" applyFont="1" applyBorder="1" applyAlignment="1">
      <alignment horizontal="center"/>
    </xf>
    <xf numFmtId="0" fontId="24" fillId="0" borderId="144" xfId="0" applyFont="1" applyBorder="1" applyAlignment="1">
      <alignment horizontal="left" wrapText="1"/>
    </xf>
    <xf numFmtId="0" fontId="24" fillId="8" borderId="144" xfId="0" applyFont="1" applyFill="1" applyBorder="1" applyAlignment="1">
      <alignment horizontal="center"/>
    </xf>
    <xf numFmtId="0" fontId="26" fillId="0" borderId="144" xfId="0" applyFont="1" applyBorder="1" applyAlignment="1">
      <alignment horizontal="center" vertical="center"/>
    </xf>
    <xf numFmtId="0" fontId="26" fillId="16" borderId="144" xfId="0" applyFont="1" applyFill="1" applyBorder="1" applyAlignment="1">
      <alignment horizontal="left" vertical="center" wrapText="1"/>
    </xf>
    <xf numFmtId="49" fontId="26" fillId="0" borderId="144" xfId="0" applyNumberFormat="1" applyFont="1" applyBorder="1" applyAlignment="1">
      <alignment horizontal="center" vertical="center"/>
    </xf>
    <xf numFmtId="0" fontId="26" fillId="0" borderId="144" xfId="0" applyFont="1" applyBorder="1" applyAlignment="1">
      <alignment horizontal="left" vertical="center" wrapText="1"/>
    </xf>
    <xf numFmtId="0" fontId="24" fillId="8" borderId="144" xfId="0" applyFont="1" applyFill="1" applyBorder="1" applyAlignment="1">
      <alignment horizontal="center" vertical="center" wrapText="1"/>
    </xf>
    <xf numFmtId="49" fontId="39" fillId="15" borderId="114" xfId="0" applyNumberFormat="1" applyFont="1" applyFill="1" applyBorder="1" applyAlignment="1">
      <alignment vertical="center"/>
    </xf>
    <xf numFmtId="49" fontId="39" fillId="15" borderId="116" xfId="0" applyNumberFormat="1" applyFont="1" applyFill="1" applyBorder="1" applyAlignment="1">
      <alignment vertical="center" wrapText="1"/>
    </xf>
    <xf numFmtId="0" fontId="26" fillId="0" borderId="144" xfId="0" applyFont="1" applyBorder="1" applyAlignment="1">
      <alignment horizontal="center"/>
    </xf>
    <xf numFmtId="0" fontId="26" fillId="0" borderId="144" xfId="0" applyFont="1" applyBorder="1" applyAlignment="1">
      <alignment horizontal="left" wrapText="1"/>
    </xf>
    <xf numFmtId="0" fontId="24" fillId="16" borderId="144" xfId="0" applyFont="1" applyFill="1" applyBorder="1" applyAlignment="1">
      <alignment horizontal="left" vertical="center"/>
    </xf>
    <xf numFmtId="0" fontId="24" fillId="0" borderId="171" xfId="0" applyFont="1" applyBorder="1" applyAlignment="1">
      <alignment vertical="center"/>
    </xf>
    <xf numFmtId="49" fontId="29" fillId="0" borderId="0" xfId="0" applyNumberFormat="1" applyFont="1" applyAlignment="1">
      <alignment horizontal="left" vertical="center"/>
    </xf>
    <xf numFmtId="0" fontId="23" fillId="0" borderId="108" xfId="0" applyFont="1" applyBorder="1" applyAlignment="1">
      <alignment horizontal="center" vertical="center" wrapText="1"/>
    </xf>
    <xf numFmtId="0" fontId="46" fillId="0" borderId="144" xfId="0" applyFont="1" applyBorder="1" applyAlignment="1">
      <alignment horizontal="center" vertical="center"/>
    </xf>
    <xf numFmtId="0" fontId="46" fillId="0" borderId="144" xfId="0" applyFont="1" applyBorder="1" applyAlignment="1">
      <alignment horizontal="center" vertical="center" wrapText="1"/>
    </xf>
    <xf numFmtId="0" fontId="26" fillId="7" borderId="0" xfId="0" applyFont="1" applyFill="1" applyAlignment="1">
      <alignment horizontal="center" vertical="center"/>
    </xf>
    <xf numFmtId="0" fontId="26" fillId="0" borderId="0" xfId="0" applyFont="1"/>
    <xf numFmtId="169" fontId="47" fillId="0" borderId="108" xfId="0" applyNumberFormat="1" applyFont="1" applyBorder="1" applyAlignment="1">
      <alignment horizontal="center" vertical="center"/>
    </xf>
    <xf numFmtId="0" fontId="44" fillId="0" borderId="110" xfId="0" applyFont="1" applyBorder="1" applyAlignment="1">
      <alignment horizontal="center" vertical="center" wrapText="1"/>
    </xf>
    <xf numFmtId="0" fontId="42" fillId="6" borderId="110" xfId="0" applyFont="1" applyFill="1" applyBorder="1" applyAlignment="1">
      <alignment horizontal="center" vertical="center" wrapText="1"/>
    </xf>
    <xf numFmtId="0" fontId="15" fillId="6" borderId="110" xfId="0" applyFont="1" applyFill="1" applyBorder="1" applyAlignment="1">
      <alignment horizontal="center" vertical="center" wrapText="1"/>
    </xf>
    <xf numFmtId="171" fontId="38" fillId="17" borderId="144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left" wrapText="1"/>
    </xf>
    <xf numFmtId="0" fontId="40" fillId="0" borderId="0" xfId="0" applyFont="1" applyAlignment="1">
      <alignment horizontal="left" wrapText="1"/>
    </xf>
    <xf numFmtId="0" fontId="40" fillId="0" borderId="0" xfId="0" applyFont="1" applyAlignment="1">
      <alignment horizontal="left" vertical="center" wrapText="1"/>
    </xf>
    <xf numFmtId="0" fontId="37" fillId="0" borderId="175" xfId="0" applyFont="1" applyBorder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167" fontId="49" fillId="0" borderId="108" xfId="0" applyNumberFormat="1" applyFont="1" applyBorder="1" applyAlignment="1">
      <alignment horizontal="center" vertical="center"/>
    </xf>
    <xf numFmtId="167" fontId="16" fillId="0" borderId="109" xfId="2" applyNumberFormat="1" applyFont="1" applyFill="1" applyBorder="1" applyAlignment="1">
      <alignment horizontal="right" vertical="center"/>
    </xf>
    <xf numFmtId="0" fontId="46" fillId="0" borderId="144" xfId="0" applyFont="1" applyBorder="1" applyAlignment="1">
      <alignment horizontal="left" vertical="center" wrapText="1"/>
    </xf>
    <xf numFmtId="0" fontId="24" fillId="0" borderId="0" xfId="0" applyFont="1" applyAlignment="1">
      <alignment horizontal="left" wrapText="1"/>
    </xf>
    <xf numFmtId="0" fontId="24" fillId="12" borderId="14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left" wrapText="1"/>
    </xf>
    <xf numFmtId="0" fontId="24" fillId="12" borderId="144" xfId="0" applyFont="1" applyFill="1" applyBorder="1" applyAlignment="1">
      <alignment horizontal="left" wrapText="1"/>
    </xf>
    <xf numFmtId="0" fontId="37" fillId="0" borderId="0" xfId="0" applyFont="1" applyAlignment="1">
      <alignment wrapText="1"/>
    </xf>
    <xf numFmtId="0" fontId="0" fillId="0" borderId="0" xfId="0" applyAlignment="1">
      <alignment vertical="center" wrapText="1"/>
    </xf>
    <xf numFmtId="0" fontId="21" fillId="10" borderId="0" xfId="0" applyFont="1" applyFill="1" applyAlignment="1">
      <alignment vertical="center" wrapText="1"/>
    </xf>
    <xf numFmtId="1" fontId="0" fillId="8" borderId="144" xfId="0" applyNumberFormat="1" applyFill="1" applyBorder="1" applyAlignment="1">
      <alignment wrapText="1"/>
    </xf>
    <xf numFmtId="0" fontId="9" fillId="6" borderId="110" xfId="0" applyFont="1" applyFill="1" applyBorder="1" applyAlignment="1">
      <alignment vertical="center" wrapText="1"/>
    </xf>
    <xf numFmtId="0" fontId="10" fillId="6" borderId="110" xfId="0" applyFont="1" applyFill="1" applyBorder="1" applyAlignment="1">
      <alignment vertical="center" wrapText="1"/>
    </xf>
    <xf numFmtId="0" fontId="10" fillId="0" borderId="108" xfId="0" applyFont="1" applyBorder="1" applyAlignment="1">
      <alignment horizontal="left" vertical="center" wrapText="1"/>
    </xf>
    <xf numFmtId="0" fontId="0" fillId="0" borderId="108" xfId="0" applyBorder="1" applyAlignment="1">
      <alignment horizontal="left" vertical="center" wrapText="1"/>
    </xf>
    <xf numFmtId="0" fontId="16" fillId="0" borderId="108" xfId="0" applyFont="1" applyBorder="1" applyAlignment="1">
      <alignment horizontal="left" vertical="center" wrapText="1"/>
    </xf>
    <xf numFmtId="0" fontId="16" fillId="0" borderId="109" xfId="0" applyFont="1" applyBorder="1" applyAlignment="1">
      <alignment horizontal="left" vertical="center" wrapText="1"/>
    </xf>
    <xf numFmtId="14" fontId="26" fillId="8" borderId="144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left" vertical="center" wrapText="1" indent="1"/>
    </xf>
    <xf numFmtId="0" fontId="52" fillId="0" borderId="0" xfId="0" applyFont="1"/>
    <xf numFmtId="0" fontId="0" fillId="0" borderId="176" xfId="0" applyBorder="1" applyAlignment="1">
      <alignment horizontal="left" vertical="center" wrapText="1" indent="1"/>
    </xf>
    <xf numFmtId="0" fontId="0" fillId="18" borderId="176" xfId="0" applyFill="1" applyBorder="1"/>
    <xf numFmtId="0" fontId="10" fillId="0" borderId="176" xfId="0" applyFont="1" applyBorder="1" applyAlignment="1">
      <alignment horizontal="center" vertical="center"/>
    </xf>
    <xf numFmtId="0" fontId="53" fillId="11" borderId="0" xfId="0" applyFont="1" applyFill="1" applyAlignment="1">
      <alignment vertical="center"/>
    </xf>
    <xf numFmtId="0" fontId="52" fillId="0" borderId="0" xfId="0" applyFont="1" applyAlignment="1">
      <alignment vertical="center"/>
    </xf>
    <xf numFmtId="168" fontId="0" fillId="0" borderId="108" xfId="2" applyNumberFormat="1" applyFont="1" applyFill="1" applyBorder="1" applyAlignment="1">
      <alignment horizontal="right" vertical="center"/>
    </xf>
    <xf numFmtId="4" fontId="26" fillId="8" borderId="144" xfId="0" applyNumberFormat="1" applyFont="1" applyFill="1" applyBorder="1" applyAlignment="1" applyProtection="1">
      <alignment horizontal="center" vertical="center"/>
      <protection locked="0"/>
    </xf>
    <xf numFmtId="0" fontId="37" fillId="0" borderId="144" xfId="0" applyFont="1" applyBorder="1" applyAlignment="1">
      <alignment horizontal="left" vertical="center" wrapText="1"/>
    </xf>
    <xf numFmtId="0" fontId="51" fillId="0" borderId="144" xfId="4" applyFont="1" applyBorder="1" applyAlignment="1" applyProtection="1">
      <alignment horizontal="left" vertical="center" wrapText="1"/>
    </xf>
    <xf numFmtId="0" fontId="26" fillId="8" borderId="144" xfId="0" applyFont="1" applyFill="1" applyBorder="1" applyAlignment="1" applyProtection="1">
      <alignment horizontal="left" vertical="center" wrapText="1"/>
      <protection locked="0"/>
    </xf>
    <xf numFmtId="0" fontId="25" fillId="7" borderId="157" xfId="0" applyFont="1" applyFill="1" applyBorder="1" applyAlignment="1">
      <alignment vertical="center"/>
    </xf>
    <xf numFmtId="0" fontId="25" fillId="7" borderId="170" xfId="0" applyFont="1" applyFill="1" applyBorder="1" applyAlignment="1">
      <alignment vertical="center"/>
    </xf>
    <xf numFmtId="0" fontId="39" fillId="12" borderId="144" xfId="0" applyFont="1" applyFill="1" applyBorder="1" applyAlignment="1">
      <alignment horizontal="left" vertical="center"/>
    </xf>
    <xf numFmtId="0" fontId="39" fillId="12" borderId="144" xfId="0" applyFont="1" applyFill="1" applyBorder="1" applyAlignment="1">
      <alignment horizontal="center" vertical="center"/>
    </xf>
    <xf numFmtId="43" fontId="0" fillId="0" borderId="108" xfId="2" applyFont="1" applyFill="1" applyBorder="1" applyAlignment="1">
      <alignment horizontal="right" vertical="center"/>
    </xf>
    <xf numFmtId="43" fontId="15" fillId="0" borderId="108" xfId="2" applyFont="1" applyFill="1" applyBorder="1" applyAlignment="1">
      <alignment horizontal="right" vertical="center"/>
    </xf>
    <xf numFmtId="43" fontId="7" fillId="0" borderId="108" xfId="2" applyFont="1" applyFill="1" applyBorder="1" applyAlignment="1">
      <alignment horizontal="right" vertical="center"/>
    </xf>
    <xf numFmtId="0" fontId="24" fillId="8" borderId="144" xfId="0" applyFont="1" applyFill="1" applyBorder="1" applyAlignment="1" applyProtection="1">
      <alignment horizontal="center"/>
      <protection locked="0"/>
    </xf>
    <xf numFmtId="0" fontId="26" fillId="12" borderId="114" xfId="0" applyFont="1" applyFill="1" applyBorder="1" applyAlignment="1">
      <alignment horizontal="center" vertical="center"/>
    </xf>
    <xf numFmtId="0" fontId="25" fillId="8" borderId="114" xfId="0" applyFont="1" applyFill="1" applyBorder="1" applyAlignment="1">
      <alignment vertical="center" wrapText="1"/>
    </xf>
    <xf numFmtId="0" fontId="26" fillId="12" borderId="114" xfId="0" applyFont="1" applyFill="1" applyBorder="1" applyAlignment="1">
      <alignment horizontal="center" vertical="center" wrapText="1"/>
    </xf>
    <xf numFmtId="0" fontId="26" fillId="12" borderId="177" xfId="0" applyFont="1" applyFill="1" applyBorder="1" applyAlignment="1">
      <alignment horizontal="center" vertical="center"/>
    </xf>
    <xf numFmtId="0" fontId="26" fillId="0" borderId="115" xfId="0" applyFont="1" applyBorder="1" applyAlignment="1">
      <alignment horizontal="center" vertical="center"/>
    </xf>
    <xf numFmtId="0" fontId="26" fillId="12" borderId="144" xfId="0" applyFont="1" applyFill="1" applyBorder="1" applyAlignment="1">
      <alignment horizontal="left" vertical="center" wrapText="1"/>
    </xf>
    <xf numFmtId="0" fontId="37" fillId="12" borderId="144" xfId="0" applyFont="1" applyFill="1" applyBorder="1" applyAlignment="1">
      <alignment horizontal="left" vertical="center" wrapText="1"/>
    </xf>
    <xf numFmtId="0" fontId="24" fillId="0" borderId="144" xfId="0" applyFont="1" applyBorder="1" applyAlignment="1">
      <alignment horizontal="center" vertical="center" wrapText="1"/>
    </xf>
    <xf numFmtId="1" fontId="38" fillId="17" borderId="144" xfId="0" applyNumberFormat="1" applyFont="1" applyFill="1" applyBorder="1" applyAlignment="1">
      <alignment horizontal="center" vertical="center"/>
    </xf>
    <xf numFmtId="0" fontId="24" fillId="11" borderId="144" xfId="0" applyFont="1" applyFill="1" applyBorder="1" applyAlignment="1">
      <alignment horizontal="center"/>
    </xf>
    <xf numFmtId="0" fontId="24" fillId="11" borderId="144" xfId="0" applyFont="1" applyFill="1" applyBorder="1" applyAlignment="1">
      <alignment horizontal="left"/>
    </xf>
    <xf numFmtId="0" fontId="29" fillId="0" borderId="0" xfId="0" applyFont="1" applyAlignment="1">
      <alignment vertical="center" wrapText="1"/>
    </xf>
    <xf numFmtId="0" fontId="24" fillId="0" borderId="0" xfId="0" applyFont="1" applyAlignment="1">
      <alignment vertical="center" wrapText="1"/>
    </xf>
    <xf numFmtId="0" fontId="9" fillId="12" borderId="110" xfId="0" applyFont="1" applyFill="1" applyBorder="1" applyAlignment="1">
      <alignment vertical="center" wrapText="1"/>
    </xf>
    <xf numFmtId="0" fontId="9" fillId="12" borderId="110" xfId="0" applyFont="1" applyFill="1" applyBorder="1" applyAlignment="1">
      <alignment horizontal="center" vertical="center" wrapText="1"/>
    </xf>
    <xf numFmtId="167" fontId="10" fillId="16" borderId="112" xfId="2" applyNumberFormat="1" applyFont="1" applyFill="1" applyBorder="1" applyAlignment="1">
      <alignment horizontal="center" vertical="center"/>
    </xf>
    <xf numFmtId="0" fontId="10" fillId="16" borderId="112" xfId="0" applyFont="1" applyFill="1" applyBorder="1" applyAlignment="1">
      <alignment horizontal="center" vertical="center"/>
    </xf>
    <xf numFmtId="0" fontId="0" fillId="16" borderId="115" xfId="0" applyFill="1" applyBorder="1" applyAlignment="1">
      <alignment vertical="center" wrapText="1"/>
    </xf>
    <xf numFmtId="0" fontId="13" fillId="16" borderId="115" xfId="0" applyFont="1" applyFill="1" applyBorder="1" applyAlignment="1">
      <alignment horizontal="center" vertical="center" wrapText="1"/>
    </xf>
    <xf numFmtId="167" fontId="0" fillId="16" borderId="115" xfId="2" applyNumberFormat="1" applyFont="1" applyFill="1" applyBorder="1" applyAlignment="1">
      <alignment horizontal="center" vertical="center"/>
    </xf>
    <xf numFmtId="0" fontId="12" fillId="0" borderId="117" xfId="0" applyFont="1" applyBorder="1" applyAlignment="1">
      <alignment vertical="center"/>
    </xf>
    <xf numFmtId="3" fontId="39" fillId="12" borderId="144" xfId="0" applyNumberFormat="1" applyFont="1" applyFill="1" applyBorder="1" applyAlignment="1">
      <alignment vertical="center"/>
    </xf>
    <xf numFmtId="0" fontId="24" fillId="12" borderId="0" xfId="0" applyFont="1" applyFill="1" applyAlignment="1">
      <alignment horizontal="center" vertical="center"/>
    </xf>
    <xf numFmtId="0" fontId="26" fillId="12" borderId="144" xfId="0" applyFont="1" applyFill="1" applyBorder="1" applyAlignment="1">
      <alignment horizontal="left" vertical="center"/>
    </xf>
    <xf numFmtId="0" fontId="55" fillId="0" borderId="0" xfId="0" applyFont="1" applyAlignment="1">
      <alignment horizontal="left"/>
    </xf>
    <xf numFmtId="0" fontId="56" fillId="0" borderId="0" xfId="0" applyFont="1" applyAlignment="1">
      <alignment horizontal="left"/>
    </xf>
    <xf numFmtId="0" fontId="35" fillId="0" borderId="144" xfId="0" applyFont="1" applyBorder="1"/>
    <xf numFmtId="0" fontId="35" fillId="0" borderId="0" xfId="0" applyFont="1" applyAlignment="1">
      <alignment horizontal="left" vertical="center"/>
    </xf>
    <xf numFmtId="0" fontId="35" fillId="11" borderId="144" xfId="0" applyFont="1" applyFill="1" applyBorder="1"/>
    <xf numFmtId="0" fontId="35" fillId="0" borderId="0" xfId="0" applyFont="1" applyAlignment="1">
      <alignment horizontal="center" vertical="center"/>
    </xf>
    <xf numFmtId="0" fontId="35" fillId="0" borderId="0" xfId="0" applyFont="1"/>
    <xf numFmtId="0" fontId="57" fillId="0" borderId="0" xfId="0" applyFont="1" applyAlignment="1">
      <alignment wrapText="1"/>
    </xf>
    <xf numFmtId="0" fontId="35" fillId="0" borderId="0" xfId="0" applyFont="1" applyAlignment="1">
      <alignment horizontal="left" wrapText="1"/>
    </xf>
    <xf numFmtId="0" fontId="56" fillId="19" borderId="0" xfId="0" applyFont="1" applyFill="1" applyAlignment="1">
      <alignment horizontal="left" vertical="center"/>
    </xf>
    <xf numFmtId="0" fontId="55" fillId="19" borderId="0" xfId="0" applyFont="1" applyFill="1" applyAlignment="1">
      <alignment horizontal="left" vertical="center"/>
    </xf>
    <xf numFmtId="4" fontId="26" fillId="15" borderId="144" xfId="0" applyNumberFormat="1" applyFont="1" applyFill="1" applyBorder="1" applyAlignment="1" applyProtection="1">
      <alignment horizontal="center" vertical="center"/>
      <protection locked="0"/>
    </xf>
    <xf numFmtId="4" fontId="26" fillId="11" borderId="144" xfId="0" applyNumberFormat="1" applyFont="1" applyFill="1" applyBorder="1" applyAlignment="1" applyProtection="1">
      <alignment horizontal="center" vertical="center" wrapText="1"/>
      <protection locked="0"/>
    </xf>
    <xf numFmtId="4" fontId="26" fillId="11" borderId="144" xfId="1" applyNumberFormat="1" applyFont="1" applyFill="1" applyBorder="1" applyAlignment="1" applyProtection="1">
      <alignment horizontal="center" vertical="center" wrapText="1"/>
      <protection locked="0"/>
    </xf>
    <xf numFmtId="4" fontId="26" fillId="11" borderId="144" xfId="0" applyNumberFormat="1" applyFont="1" applyFill="1" applyBorder="1" applyAlignment="1" applyProtection="1">
      <alignment horizontal="center"/>
      <protection locked="0"/>
    </xf>
    <xf numFmtId="4" fontId="24" fillId="11" borderId="144" xfId="0" applyNumberFormat="1" applyFont="1" applyFill="1" applyBorder="1" applyAlignment="1" applyProtection="1">
      <alignment horizontal="center" vertical="center"/>
      <protection locked="0"/>
    </xf>
    <xf numFmtId="4" fontId="26" fillId="8" borderId="144" xfId="1" applyNumberFormat="1" applyFont="1" applyFill="1" applyBorder="1" applyAlignment="1" applyProtection="1">
      <alignment horizontal="center" vertical="center"/>
      <protection locked="0"/>
    </xf>
    <xf numFmtId="4" fontId="38" fillId="17" borderId="144" xfId="0" applyNumberFormat="1" applyFont="1" applyFill="1" applyBorder="1" applyAlignment="1" applyProtection="1">
      <alignment horizontal="center" vertical="center"/>
      <protection locked="0"/>
    </xf>
    <xf numFmtId="4" fontId="24" fillId="15" borderId="144" xfId="0" applyNumberFormat="1" applyFont="1" applyFill="1" applyBorder="1" applyAlignment="1" applyProtection="1">
      <alignment horizontal="center" vertical="center"/>
      <protection locked="0"/>
    </xf>
    <xf numFmtId="4" fontId="24" fillId="8" borderId="144" xfId="1" applyNumberFormat="1" applyFont="1" applyFill="1" applyBorder="1" applyAlignment="1" applyProtection="1">
      <alignment horizontal="center" vertical="center"/>
      <protection locked="0"/>
    </xf>
    <xf numFmtId="4" fontId="24" fillId="11" borderId="144" xfId="1" applyNumberFormat="1" applyFont="1" applyFill="1" applyBorder="1" applyAlignment="1" applyProtection="1">
      <alignment horizontal="center" vertical="center"/>
      <protection locked="0"/>
    </xf>
    <xf numFmtId="10" fontId="24" fillId="8" borderId="144" xfId="1" applyNumberFormat="1" applyFont="1" applyFill="1" applyBorder="1" applyAlignment="1" applyProtection="1">
      <alignment horizontal="center" vertical="center"/>
      <protection locked="0"/>
    </xf>
    <xf numFmtId="167" fontId="50" fillId="0" borderId="108" xfId="0" applyNumberFormat="1" applyFont="1" applyBorder="1" applyAlignment="1">
      <alignment horizontal="center" vertical="center"/>
    </xf>
    <xf numFmtId="167" fontId="47" fillId="0" borderId="108" xfId="0" applyNumberFormat="1" applyFont="1" applyBorder="1" applyAlignment="1">
      <alignment horizontal="center" vertical="center"/>
    </xf>
    <xf numFmtId="167" fontId="9" fillId="6" borderId="108" xfId="0" applyNumberFormat="1" applyFont="1" applyFill="1" applyBorder="1" applyAlignment="1">
      <alignment horizontal="center" vertical="center"/>
    </xf>
    <xf numFmtId="167" fontId="10" fillId="6" borderId="108" xfId="0" applyNumberFormat="1" applyFont="1" applyFill="1" applyBorder="1" applyAlignment="1">
      <alignment horizontal="center" vertical="center"/>
    </xf>
    <xf numFmtId="167" fontId="9" fillId="6" borderId="108" xfId="0" applyNumberFormat="1" applyFont="1" applyFill="1" applyBorder="1" applyAlignment="1">
      <alignment horizontal="right" vertical="center"/>
    </xf>
    <xf numFmtId="167" fontId="10" fillId="6" borderId="108" xfId="0" applyNumberFormat="1" applyFont="1" applyFill="1" applyBorder="1" applyAlignment="1">
      <alignment horizontal="right" vertical="center"/>
    </xf>
    <xf numFmtId="167" fontId="49" fillId="0" borderId="108" xfId="0" applyNumberFormat="1" applyFont="1" applyBorder="1" applyAlignment="1">
      <alignment horizontal="right" vertical="center"/>
    </xf>
    <xf numFmtId="167" fontId="50" fillId="0" borderId="108" xfId="0" applyNumberFormat="1" applyFont="1" applyBorder="1" applyAlignment="1">
      <alignment horizontal="right" vertical="center"/>
    </xf>
    <xf numFmtId="167" fontId="7" fillId="0" borderId="108" xfId="2" applyNumberFormat="1" applyFont="1" applyFill="1" applyBorder="1" applyAlignment="1">
      <alignment horizontal="right" vertical="center"/>
    </xf>
    <xf numFmtId="3" fontId="50" fillId="0" borderId="108" xfId="0" applyNumberFormat="1" applyFont="1" applyBorder="1" applyAlignment="1">
      <alignment horizontal="right" vertical="center"/>
    </xf>
    <xf numFmtId="3" fontId="50" fillId="0" borderId="109" xfId="0" applyNumberFormat="1" applyFont="1" applyBorder="1" applyAlignment="1">
      <alignment horizontal="right" vertical="center"/>
    </xf>
    <xf numFmtId="167" fontId="10" fillId="0" borderId="108" xfId="0" applyNumberFormat="1" applyFont="1" applyBorder="1" applyAlignment="1">
      <alignment horizontal="right" vertical="center"/>
    </xf>
    <xf numFmtId="167" fontId="0" fillId="16" borderId="115" xfId="0" applyNumberFormat="1" applyFill="1" applyBorder="1" applyAlignment="1">
      <alignment horizontal="right" vertical="center"/>
    </xf>
    <xf numFmtId="167" fontId="42" fillId="6" borderId="108" xfId="0" applyNumberFormat="1" applyFont="1" applyFill="1" applyBorder="1" applyAlignment="1">
      <alignment horizontal="center" vertical="center"/>
    </xf>
    <xf numFmtId="167" fontId="7" fillId="0" borderId="108" xfId="0" applyNumberFormat="1" applyFont="1" applyBorder="1" applyAlignment="1">
      <alignment horizontal="center" vertical="center"/>
    </xf>
    <xf numFmtId="167" fontId="45" fillId="0" borderId="108" xfId="0" applyNumberFormat="1" applyFont="1" applyBorder="1" applyAlignment="1">
      <alignment horizontal="center" vertical="center"/>
    </xf>
    <xf numFmtId="167" fontId="7" fillId="0" borderId="108" xfId="0" applyNumberFormat="1" applyFont="1" applyBorder="1" applyAlignment="1">
      <alignment horizontal="right"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167" fontId="9" fillId="0" borderId="0" xfId="0" applyNumberFormat="1" applyFont="1" applyAlignment="1">
      <alignment vertical="center"/>
    </xf>
    <xf numFmtId="9" fontId="9" fillId="0" borderId="0" xfId="1" applyFont="1" applyFill="1" applyAlignment="1">
      <alignment vertical="center"/>
    </xf>
    <xf numFmtId="167" fontId="10" fillId="0" borderId="0" xfId="0" applyNumberFormat="1" applyFont="1" applyAlignment="1">
      <alignment vertical="center"/>
    </xf>
    <xf numFmtId="170" fontId="0" fillId="0" borderId="0" xfId="0" applyNumberFormat="1" applyAlignment="1">
      <alignment vertical="center"/>
    </xf>
    <xf numFmtId="9" fontId="26" fillId="8" borderId="144" xfId="1" applyFont="1" applyFill="1" applyBorder="1" applyAlignment="1" applyProtection="1">
      <alignment horizontal="center" vertical="center" wrapText="1"/>
      <protection locked="0"/>
    </xf>
    <xf numFmtId="43" fontId="10" fillId="0" borderId="108" xfId="2" applyFont="1" applyFill="1" applyBorder="1" applyAlignment="1">
      <alignment horizontal="right" vertical="center"/>
    </xf>
    <xf numFmtId="14" fontId="10" fillId="0" borderId="0" xfId="0" applyNumberFormat="1" applyFont="1"/>
    <xf numFmtId="0" fontId="37" fillId="0" borderId="0" xfId="0" applyFont="1"/>
    <xf numFmtId="0" fontId="24" fillId="20" borderId="144" xfId="0" applyFont="1" applyFill="1" applyBorder="1" applyAlignment="1">
      <alignment horizontal="center"/>
    </xf>
    <xf numFmtId="0" fontId="24" fillId="20" borderId="144" xfId="0" applyFont="1" applyFill="1" applyBorder="1" applyAlignment="1">
      <alignment horizontal="left" vertical="center" wrapText="1"/>
    </xf>
    <xf numFmtId="0" fontId="26" fillId="20" borderId="144" xfId="0" applyFont="1" applyFill="1" applyBorder="1" applyAlignment="1" applyProtection="1">
      <alignment horizontal="center"/>
      <protection locked="0"/>
    </xf>
    <xf numFmtId="0" fontId="26" fillId="20" borderId="144" xfId="0" applyFont="1" applyFill="1" applyBorder="1" applyAlignment="1">
      <alignment horizontal="left" vertical="center" wrapText="1"/>
    </xf>
    <xf numFmtId="0" fontId="26" fillId="20" borderId="144" xfId="0" applyFont="1" applyFill="1" applyBorder="1" applyAlignment="1">
      <alignment horizontal="center" vertical="center"/>
    </xf>
    <xf numFmtId="0" fontId="24" fillId="20" borderId="144" xfId="0" applyFont="1" applyFill="1" applyBorder="1" applyAlignment="1" applyProtection="1">
      <alignment horizontal="center"/>
      <protection locked="0"/>
    </xf>
    <xf numFmtId="0" fontId="24" fillId="20" borderId="144" xfId="0" applyFont="1" applyFill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2" fillId="0" borderId="0" xfId="0" applyFont="1" applyProtection="1">
      <protection locked="0"/>
    </xf>
    <xf numFmtId="0" fontId="32" fillId="0" borderId="0" xfId="0" applyFont="1" applyAlignment="1" applyProtection="1">
      <alignment vertical="center"/>
      <protection locked="0"/>
    </xf>
    <xf numFmtId="10" fontId="24" fillId="11" borderId="144" xfId="1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Alignment="1">
      <alignment vertical="center"/>
    </xf>
    <xf numFmtId="0" fontId="10" fillId="16" borderId="144" xfId="0" applyFont="1" applyFill="1" applyBorder="1" applyAlignment="1">
      <alignment horizontal="center" vertical="center"/>
    </xf>
    <xf numFmtId="0" fontId="0" fillId="0" borderId="108" xfId="0" applyBorder="1" applyAlignment="1">
      <alignment horizontal="center" vertical="center" wrapText="1"/>
    </xf>
    <xf numFmtId="167" fontId="0" fillId="0" borderId="108" xfId="0" applyNumberFormat="1" applyBorder="1" applyAlignment="1">
      <alignment horizontal="left" vertical="center" wrapText="1"/>
    </xf>
    <xf numFmtId="167" fontId="10" fillId="6" borderId="110" xfId="0" applyNumberFormat="1" applyFont="1" applyFill="1" applyBorder="1" applyAlignment="1">
      <alignment vertical="center" wrapText="1"/>
    </xf>
    <xf numFmtId="0" fontId="60" fillId="0" borderId="0" xfId="0" applyFont="1" applyAlignment="1">
      <alignment vertical="center"/>
    </xf>
    <xf numFmtId="0" fontId="9" fillId="11" borderId="110" xfId="0" applyFont="1" applyFill="1" applyBorder="1" applyAlignment="1">
      <alignment vertical="center" wrapText="1"/>
    </xf>
    <xf numFmtId="0" fontId="9" fillId="11" borderId="110" xfId="0" applyFont="1" applyFill="1" applyBorder="1" applyAlignment="1">
      <alignment horizontal="center" vertical="center" wrapText="1"/>
    </xf>
    <xf numFmtId="167" fontId="9" fillId="11" borderId="110" xfId="2" applyNumberFormat="1" applyFont="1" applyFill="1" applyBorder="1" applyAlignment="1">
      <alignment horizontal="center" vertical="center"/>
    </xf>
    <xf numFmtId="167" fontId="9" fillId="11" borderId="108" xfId="0" applyNumberFormat="1" applyFont="1" applyFill="1" applyBorder="1" applyAlignment="1">
      <alignment horizontal="center" vertical="center"/>
    </xf>
    <xf numFmtId="0" fontId="10" fillId="11" borderId="110" xfId="0" applyFont="1" applyFill="1" applyBorder="1" applyAlignment="1">
      <alignment vertical="center" wrapText="1"/>
    </xf>
    <xf numFmtId="0" fontId="10" fillId="11" borderId="110" xfId="0" applyFont="1" applyFill="1" applyBorder="1" applyAlignment="1">
      <alignment horizontal="center" vertical="center" wrapText="1"/>
    </xf>
    <xf numFmtId="167" fontId="10" fillId="11" borderId="110" xfId="2" applyNumberFormat="1" applyFont="1" applyFill="1" applyBorder="1" applyAlignment="1">
      <alignment horizontal="center" vertical="center"/>
    </xf>
    <xf numFmtId="167" fontId="10" fillId="11" borderId="108" xfId="0" applyNumberFormat="1" applyFont="1" applyFill="1" applyBorder="1" applyAlignment="1">
      <alignment horizontal="center" vertical="center"/>
    </xf>
    <xf numFmtId="0" fontId="10" fillId="11" borderId="108" xfId="0" applyFont="1" applyFill="1" applyBorder="1" applyAlignment="1">
      <alignment horizontal="left" vertical="center" wrapText="1"/>
    </xf>
    <xf numFmtId="0" fontId="14" fillId="11" borderId="110" xfId="0" applyFont="1" applyFill="1" applyBorder="1" applyAlignment="1">
      <alignment horizontal="center" vertical="center" wrapText="1"/>
    </xf>
    <xf numFmtId="167" fontId="15" fillId="11" borderId="108" xfId="2" applyNumberFormat="1" applyFont="1" applyFill="1" applyBorder="1" applyAlignment="1">
      <alignment horizontal="right" vertical="center"/>
    </xf>
    <xf numFmtId="167" fontId="48" fillId="11" borderId="108" xfId="0" applyNumberFormat="1" applyFont="1" applyFill="1" applyBorder="1" applyAlignment="1">
      <alignment horizontal="center" vertical="center"/>
    </xf>
    <xf numFmtId="0" fontId="16" fillId="11" borderId="108" xfId="0" applyFont="1" applyFill="1" applyBorder="1" applyAlignment="1">
      <alignment horizontal="left" vertical="center" wrapText="1"/>
    </xf>
    <xf numFmtId="0" fontId="17" fillId="11" borderId="108" xfId="0" applyFont="1" applyFill="1" applyBorder="1" applyAlignment="1">
      <alignment horizontal="center" vertical="center" wrapText="1"/>
    </xf>
    <xf numFmtId="167" fontId="0" fillId="11" borderId="108" xfId="2" applyNumberFormat="1" applyFont="1" applyFill="1" applyBorder="1" applyAlignment="1">
      <alignment horizontal="right" vertical="center"/>
    </xf>
    <xf numFmtId="167" fontId="0" fillId="11" borderId="108" xfId="0" applyNumberFormat="1" applyFill="1" applyBorder="1" applyAlignment="1">
      <alignment horizontal="center" vertical="center"/>
    </xf>
    <xf numFmtId="167" fontId="16" fillId="11" borderId="108" xfId="2" applyNumberFormat="1" applyFont="1" applyFill="1" applyBorder="1" applyAlignment="1">
      <alignment horizontal="right" vertical="center"/>
    </xf>
    <xf numFmtId="9" fontId="16" fillId="11" borderId="108" xfId="1" applyFont="1" applyFill="1" applyBorder="1" applyAlignment="1">
      <alignment horizontal="right" vertical="center"/>
    </xf>
    <xf numFmtId="167" fontId="16" fillId="11" borderId="108" xfId="0" applyNumberFormat="1" applyFont="1" applyFill="1" applyBorder="1" applyAlignment="1">
      <alignment horizontal="center" vertical="center"/>
    </xf>
    <xf numFmtId="167" fontId="10" fillId="11" borderId="108" xfId="2" applyNumberFormat="1" applyFont="1" applyFill="1" applyBorder="1" applyAlignment="1">
      <alignment horizontal="right" vertical="center"/>
    </xf>
    <xf numFmtId="0" fontId="13" fillId="11" borderId="108" xfId="0" applyFont="1" applyFill="1" applyBorder="1" applyAlignment="1">
      <alignment horizontal="center" vertical="center" wrapText="1"/>
    </xf>
    <xf numFmtId="9" fontId="0" fillId="11" borderId="108" xfId="1" applyFont="1" applyFill="1" applyBorder="1" applyAlignment="1">
      <alignment horizontal="right" vertical="center"/>
    </xf>
    <xf numFmtId="9" fontId="49" fillId="11" borderId="108" xfId="1" applyFont="1" applyFill="1" applyBorder="1" applyAlignment="1">
      <alignment horizontal="center" vertical="center"/>
    </xf>
    <xf numFmtId="0" fontId="9" fillId="11" borderId="110" xfId="0" applyFont="1" applyFill="1" applyBorder="1" applyAlignment="1">
      <alignment horizontal="left" vertical="center"/>
    </xf>
    <xf numFmtId="0" fontId="10" fillId="11" borderId="110" xfId="0" applyFont="1" applyFill="1" applyBorder="1" applyAlignment="1">
      <alignment horizontal="left" vertical="center"/>
    </xf>
    <xf numFmtId="0" fontId="15" fillId="11" borderId="108" xfId="0" applyFont="1" applyFill="1" applyBorder="1" applyAlignment="1">
      <alignment horizontal="left" vertical="center" indent="1"/>
    </xf>
    <xf numFmtId="0" fontId="0" fillId="11" borderId="108" xfId="0" applyFill="1" applyBorder="1" applyAlignment="1">
      <alignment horizontal="left" vertical="center" indent="2"/>
    </xf>
    <xf numFmtId="0" fontId="16" fillId="11" borderId="108" xfId="0" applyFont="1" applyFill="1" applyBorder="1" applyAlignment="1">
      <alignment horizontal="left" vertical="center" indent="3"/>
    </xf>
    <xf numFmtId="167" fontId="58" fillId="0" borderId="108" xfId="0" applyNumberFormat="1" applyFont="1" applyBorder="1" applyAlignment="1">
      <alignment horizontal="right" vertical="center"/>
    </xf>
    <xf numFmtId="167" fontId="61" fillId="0" borderId="108" xfId="0" applyNumberFormat="1" applyFont="1" applyBorder="1" applyAlignment="1">
      <alignment horizontal="right" vertical="center"/>
    </xf>
    <xf numFmtId="173" fontId="9" fillId="12" borderId="110" xfId="2" applyNumberFormat="1" applyFont="1" applyFill="1" applyBorder="1" applyAlignment="1">
      <alignment horizontal="center" vertical="center"/>
    </xf>
    <xf numFmtId="173" fontId="9" fillId="12" borderId="108" xfId="0" applyNumberFormat="1" applyFont="1" applyFill="1" applyBorder="1" applyAlignment="1">
      <alignment horizontal="center" vertical="center"/>
    </xf>
    <xf numFmtId="0" fontId="62" fillId="0" borderId="0" xfId="0" applyFont="1" applyAlignment="1">
      <alignment vertical="center"/>
    </xf>
    <xf numFmtId="167" fontId="53" fillId="0" borderId="0" xfId="0" applyNumberFormat="1" applyFont="1" applyAlignment="1">
      <alignment vertical="center"/>
    </xf>
    <xf numFmtId="0" fontId="53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167" fontId="49" fillId="0" borderId="0" xfId="0" applyNumberFormat="1" applyFont="1" applyAlignment="1">
      <alignment vertical="center"/>
    </xf>
    <xf numFmtId="0" fontId="50" fillId="0" borderId="0" xfId="0" applyFont="1" applyAlignment="1">
      <alignment vertical="center"/>
    </xf>
    <xf numFmtId="9" fontId="50" fillId="0" borderId="0" xfId="0" applyNumberFormat="1" applyFont="1" applyAlignment="1">
      <alignment vertical="center"/>
    </xf>
    <xf numFmtId="167" fontId="50" fillId="0" borderId="0" xfId="0" applyNumberFormat="1" applyFont="1" applyAlignment="1">
      <alignment vertical="center"/>
    </xf>
    <xf numFmtId="172" fontId="49" fillId="0" borderId="0" xfId="2" applyNumberFormat="1" applyFont="1" applyAlignment="1">
      <alignment horizontal="center" vertical="center"/>
    </xf>
    <xf numFmtId="0" fontId="63" fillId="0" borderId="0" xfId="0" applyFont="1" applyAlignment="1">
      <alignment vertical="center"/>
    </xf>
    <xf numFmtId="0" fontId="63" fillId="10" borderId="0" xfId="0" applyFont="1" applyFill="1" applyAlignment="1">
      <alignment vertical="center"/>
    </xf>
    <xf numFmtId="0" fontId="63" fillId="0" borderId="0" xfId="0" applyFont="1" applyAlignment="1">
      <alignment horizontal="center" vertical="center"/>
    </xf>
    <xf numFmtId="0" fontId="63" fillId="7" borderId="0" xfId="0" applyFont="1" applyFill="1" applyAlignment="1">
      <alignment horizontal="center" vertical="center"/>
    </xf>
    <xf numFmtId="167" fontId="48" fillId="0" borderId="0" xfId="0" applyNumberFormat="1" applyFont="1" applyAlignment="1">
      <alignment vertical="center"/>
    </xf>
    <xf numFmtId="167" fontId="49" fillId="0" borderId="0" xfId="2" applyNumberFormat="1" applyFont="1" applyFill="1" applyAlignment="1">
      <alignment vertical="center"/>
    </xf>
    <xf numFmtId="3" fontId="24" fillId="0" borderId="0" xfId="0" applyNumberFormat="1" applyFont="1"/>
    <xf numFmtId="3" fontId="26" fillId="12" borderId="144" xfId="0" applyNumberFormat="1" applyFont="1" applyFill="1" applyBorder="1" applyAlignment="1">
      <alignment horizontal="center" vertical="center"/>
    </xf>
    <xf numFmtId="3" fontId="24" fillId="7" borderId="0" xfId="0" applyNumberFormat="1" applyFont="1" applyFill="1" applyAlignment="1">
      <alignment horizontal="center"/>
    </xf>
    <xf numFmtId="3" fontId="24" fillId="0" borderId="0" xfId="0" applyNumberFormat="1" applyFont="1" applyAlignment="1">
      <alignment horizontal="center"/>
    </xf>
    <xf numFmtId="3" fontId="26" fillId="8" borderId="144" xfId="0" applyNumberFormat="1" applyFont="1" applyFill="1" applyBorder="1" applyAlignment="1" applyProtection="1">
      <alignment horizontal="center" vertical="center" wrapText="1"/>
      <protection locked="0"/>
    </xf>
    <xf numFmtId="0" fontId="29" fillId="0" borderId="0" xfId="0" applyFont="1"/>
    <xf numFmtId="0" fontId="29" fillId="0" borderId="144" xfId="0" applyFont="1" applyBorder="1"/>
    <xf numFmtId="3" fontId="29" fillId="0" borderId="0" xfId="0" applyNumberFormat="1" applyFont="1" applyAlignment="1">
      <alignment horizontal="center"/>
    </xf>
    <xf numFmtId="3" fontId="39" fillId="8" borderId="144" xfId="0" applyNumberFormat="1" applyFont="1" applyFill="1" applyBorder="1" applyAlignment="1" applyProtection="1">
      <alignment horizontal="center" vertical="center" wrapText="1"/>
      <protection locked="0"/>
    </xf>
    <xf numFmtId="4" fontId="29" fillId="11" borderId="144" xfId="0" applyNumberFormat="1" applyFont="1" applyFill="1" applyBorder="1" applyAlignment="1" applyProtection="1">
      <alignment horizontal="center" vertical="center"/>
      <protection locked="0"/>
    </xf>
    <xf numFmtId="0" fontId="29" fillId="0" borderId="144" xfId="0" applyFont="1" applyBorder="1" applyAlignment="1">
      <alignment horizontal="center" vertical="center"/>
    </xf>
    <xf numFmtId="0" fontId="24" fillId="0" borderId="0" xfId="0" applyFont="1" applyAlignment="1">
      <alignment vertical="top" wrapText="1"/>
    </xf>
    <xf numFmtId="0" fontId="35" fillId="0" borderId="0" xfId="0" applyFont="1" applyAlignment="1">
      <alignment horizontal="right"/>
    </xf>
    <xf numFmtId="0" fontId="37" fillId="0" borderId="144" xfId="0" applyFont="1" applyBorder="1" applyAlignment="1" applyProtection="1">
      <alignment horizontal="left" vertical="center" wrapText="1"/>
      <protection locked="0"/>
    </xf>
    <xf numFmtId="0" fontId="26" fillId="0" borderId="144" xfId="0" applyFont="1" applyBorder="1" applyAlignment="1" applyProtection="1">
      <alignment horizontal="left" vertical="center" wrapText="1"/>
      <protection locked="0"/>
    </xf>
    <xf numFmtId="3" fontId="39" fillId="12" borderId="144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9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5" fillId="0" borderId="76" xfId="0" applyFont="1" applyBorder="1" applyAlignment="1">
      <alignment horizontal="center" vertical="center"/>
    </xf>
    <xf numFmtId="0" fontId="5" fillId="0" borderId="75" xfId="0" applyFont="1" applyBorder="1" applyAlignment="1">
      <alignment horizontal="center" vertical="center"/>
    </xf>
    <xf numFmtId="0" fontId="5" fillId="0" borderId="78" xfId="0" applyFont="1" applyBorder="1" applyAlignment="1">
      <alignment horizontal="center" vertical="center"/>
    </xf>
    <xf numFmtId="3" fontId="22" fillId="0" borderId="0" xfId="0" applyNumberFormat="1" applyFont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3" fontId="22" fillId="0" borderId="14" xfId="0" applyNumberFormat="1" applyFont="1" applyBorder="1" applyAlignment="1">
      <alignment horizontal="center" vertical="center" wrapText="1"/>
    </xf>
    <xf numFmtId="0" fontId="1" fillId="0" borderId="70" xfId="0" applyFont="1" applyBorder="1" applyAlignment="1">
      <alignment horizontal="center" vertical="center" wrapText="1"/>
    </xf>
    <xf numFmtId="0" fontId="5" fillId="0" borderId="74" xfId="0" applyFont="1" applyBorder="1" applyAlignment="1">
      <alignment horizontal="center" vertical="center"/>
    </xf>
    <xf numFmtId="0" fontId="25" fillId="7" borderId="0" xfId="0" applyFont="1" applyFill="1" applyAlignment="1">
      <alignment vertical="center"/>
    </xf>
    <xf numFmtId="0" fontId="26" fillId="12" borderId="177" xfId="0" applyFont="1" applyFill="1" applyBorder="1" applyAlignment="1">
      <alignment horizontal="center" vertical="center" wrapText="1"/>
    </xf>
    <xf numFmtId="0" fontId="24" fillId="8" borderId="144" xfId="0" applyFont="1" applyFill="1" applyBorder="1" applyAlignment="1" applyProtection="1">
      <alignment horizontal="center" vertical="center"/>
      <protection locked="0"/>
    </xf>
    <xf numFmtId="0" fontId="10" fillId="17" borderId="0" xfId="0" applyFont="1" applyFill="1" applyAlignment="1">
      <alignment vertical="center"/>
    </xf>
    <xf numFmtId="0" fontId="0" fillId="17" borderId="0" xfId="0" applyFill="1"/>
    <xf numFmtId="0" fontId="9" fillId="17" borderId="144" xfId="0" applyFont="1" applyFill="1" applyBorder="1" applyAlignment="1">
      <alignment horizontal="center" vertical="center" wrapText="1"/>
    </xf>
    <xf numFmtId="0" fontId="52" fillId="0" borderId="144" xfId="0" applyFont="1" applyBorder="1" applyAlignment="1">
      <alignment vertical="center"/>
    </xf>
    <xf numFmtId="0" fontId="52" fillId="0" borderId="144" xfId="0" applyFont="1" applyBorder="1" applyAlignment="1">
      <alignment vertical="center" wrapText="1"/>
    </xf>
    <xf numFmtId="0" fontId="52" fillId="0" borderId="144" xfId="0" applyFont="1" applyBorder="1" applyAlignment="1">
      <alignment horizontal="center" vertical="center"/>
    </xf>
    <xf numFmtId="0" fontId="52" fillId="0" borderId="144" xfId="0" applyFont="1" applyBorder="1" applyAlignment="1">
      <alignment horizontal="center" vertical="center" wrapText="1"/>
    </xf>
    <xf numFmtId="0" fontId="24" fillId="0" borderId="157" xfId="0" applyFont="1" applyBorder="1" applyAlignment="1">
      <alignment horizontal="center" vertical="center"/>
    </xf>
    <xf numFmtId="0" fontId="35" fillId="21" borderId="144" xfId="0" applyFont="1" applyFill="1" applyBorder="1"/>
    <xf numFmtId="0" fontId="26" fillId="0" borderId="117" xfId="0" applyFont="1" applyBorder="1" applyAlignment="1">
      <alignment horizontal="center" vertical="center"/>
    </xf>
    <xf numFmtId="0" fontId="26" fillId="7" borderId="0" xfId="0" applyFont="1" applyFill="1"/>
    <xf numFmtId="0" fontId="24" fillId="0" borderId="144" xfId="0" applyFont="1" applyBorder="1" applyAlignment="1" applyProtection="1">
      <alignment horizontal="center" vertical="center"/>
      <protection locked="0"/>
    </xf>
    <xf numFmtId="0" fontId="67" fillId="0" borderId="108" xfId="0" applyFont="1" applyBorder="1" applyAlignment="1">
      <alignment horizontal="left" vertical="center" wrapText="1" indent="2"/>
    </xf>
    <xf numFmtId="0" fontId="54" fillId="7" borderId="178" xfId="0" applyFont="1" applyFill="1" applyBorder="1" applyAlignment="1">
      <alignment horizontal="center" vertical="center" wrapText="1"/>
    </xf>
    <xf numFmtId="0" fontId="54" fillId="7" borderId="182" xfId="0" applyFont="1" applyFill="1" applyBorder="1" applyAlignment="1">
      <alignment horizontal="center" vertical="center" wrapText="1"/>
    </xf>
    <xf numFmtId="0" fontId="54" fillId="7" borderId="179" xfId="0" applyFont="1" applyFill="1" applyBorder="1" applyAlignment="1">
      <alignment horizontal="center" vertical="center" wrapText="1"/>
    </xf>
    <xf numFmtId="3" fontId="39" fillId="12" borderId="114" xfId="0" applyNumberFormat="1" applyFont="1" applyFill="1" applyBorder="1" applyAlignment="1">
      <alignment horizontal="center" vertical="center"/>
    </xf>
    <xf numFmtId="3" fontId="39" fillId="12" borderId="116" xfId="0" applyNumberFormat="1" applyFont="1" applyFill="1" applyBorder="1" applyAlignment="1">
      <alignment horizontal="center" vertical="center"/>
    </xf>
    <xf numFmtId="3" fontId="39" fillId="12" borderId="144" xfId="0" applyNumberFormat="1" applyFont="1" applyFill="1" applyBorder="1" applyAlignment="1">
      <alignment horizontal="center" vertical="center"/>
    </xf>
    <xf numFmtId="0" fontId="66" fillId="0" borderId="117" xfId="0" applyFont="1" applyBorder="1" applyAlignment="1">
      <alignment horizontal="left" vertical="center" wrapText="1"/>
    </xf>
    <xf numFmtId="0" fontId="24" fillId="8" borderId="144" xfId="0" applyFont="1" applyFill="1" applyBorder="1" applyAlignment="1" applyProtection="1">
      <alignment horizontal="left" vertical="center" wrapText="1"/>
      <protection locked="0"/>
    </xf>
    <xf numFmtId="9" fontId="24" fillId="8" borderId="144" xfId="0" applyNumberFormat="1" applyFont="1" applyFill="1" applyBorder="1" applyAlignment="1" applyProtection="1">
      <alignment horizontal="center" vertical="center"/>
      <protection locked="0"/>
    </xf>
    <xf numFmtId="3" fontId="26" fillId="12" borderId="114" xfId="0" applyNumberFormat="1" applyFont="1" applyFill="1" applyBorder="1" applyAlignment="1">
      <alignment horizontal="center" vertical="center"/>
    </xf>
    <xf numFmtId="3" fontId="26" fillId="12" borderId="116" xfId="0" applyNumberFormat="1" applyFont="1" applyFill="1" applyBorder="1" applyAlignment="1">
      <alignment horizontal="center" vertical="center"/>
    </xf>
    <xf numFmtId="0" fontId="24" fillId="8" borderId="144" xfId="0" quotePrefix="1" applyFont="1" applyFill="1" applyBorder="1" applyAlignment="1" applyProtection="1">
      <alignment horizontal="left" vertical="center" wrapText="1"/>
      <protection locked="0"/>
    </xf>
    <xf numFmtId="9" fontId="24" fillId="8" borderId="144" xfId="0" applyNumberFormat="1" applyFont="1" applyFill="1" applyBorder="1" applyAlignment="1" applyProtection="1">
      <alignment horizontal="left" vertical="center" wrapText="1"/>
      <protection locked="0"/>
    </xf>
    <xf numFmtId="0" fontId="37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0" fontId="26" fillId="0" borderId="0" xfId="0" quotePrefix="1" applyFont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 vertical="center" wrapText="1"/>
    </xf>
    <xf numFmtId="0" fontId="68" fillId="0" borderId="0" xfId="0" applyFont="1" applyAlignment="1">
      <alignment horizontal="left" vertical="center" wrapText="1"/>
    </xf>
    <xf numFmtId="0" fontId="10" fillId="0" borderId="107" xfId="0" applyFont="1" applyBorder="1" applyAlignment="1">
      <alignment horizontal="center" vertical="center"/>
    </xf>
    <xf numFmtId="0" fontId="10" fillId="0" borderId="111" xfId="0" applyFont="1" applyBorder="1" applyAlignment="1">
      <alignment horizontal="center" vertical="center"/>
    </xf>
    <xf numFmtId="0" fontId="10" fillId="16" borderId="107" xfId="0" applyFont="1" applyFill="1" applyBorder="1" applyAlignment="1">
      <alignment horizontal="center" vertical="center" wrapText="1"/>
    </xf>
    <xf numFmtId="0" fontId="10" fillId="16" borderId="111" xfId="0" applyFont="1" applyFill="1" applyBorder="1" applyAlignment="1">
      <alignment horizontal="center" vertical="center" wrapText="1"/>
    </xf>
    <xf numFmtId="0" fontId="10" fillId="16" borderId="113" xfId="0" applyFont="1" applyFill="1" applyBorder="1" applyAlignment="1">
      <alignment horizontal="center" vertical="center" wrapText="1"/>
    </xf>
    <xf numFmtId="0" fontId="10" fillId="16" borderId="112" xfId="0" applyFont="1" applyFill="1" applyBorder="1" applyAlignment="1">
      <alignment horizontal="center" vertical="center" wrapText="1"/>
    </xf>
    <xf numFmtId="0" fontId="10" fillId="16" borderId="114" xfId="0" applyFont="1" applyFill="1" applyBorder="1" applyAlignment="1">
      <alignment horizontal="center" vertical="center"/>
    </xf>
    <xf numFmtId="0" fontId="10" fillId="16" borderId="115" xfId="0" applyFont="1" applyFill="1" applyBorder="1" applyAlignment="1">
      <alignment horizontal="center" vertical="center"/>
    </xf>
    <xf numFmtId="0" fontId="10" fillId="16" borderId="116" xfId="0" applyFont="1" applyFill="1" applyBorder="1" applyAlignment="1">
      <alignment horizontal="center" vertical="center"/>
    </xf>
    <xf numFmtId="0" fontId="1" fillId="0" borderId="105" xfId="0" applyFont="1" applyBorder="1" applyAlignment="1">
      <alignment horizontal="center" vertical="center" wrapText="1"/>
    </xf>
    <xf numFmtId="0" fontId="1" fillId="0" borderId="106" xfId="0" applyFont="1" applyBorder="1" applyAlignment="1">
      <alignment horizontal="center" vertical="center" wrapText="1"/>
    </xf>
    <xf numFmtId="0" fontId="2" fillId="3" borderId="80" xfId="0" applyFont="1" applyFill="1" applyBorder="1" applyAlignment="1">
      <alignment horizontal="center" vertical="center" wrapText="1"/>
    </xf>
    <xf numFmtId="0" fontId="2" fillId="3" borderId="81" xfId="0" applyFont="1" applyFill="1" applyBorder="1" applyAlignment="1">
      <alignment horizontal="center" vertical="center" wrapText="1"/>
    </xf>
    <xf numFmtId="0" fontId="2" fillId="3" borderId="95" xfId="0" applyFont="1" applyFill="1" applyBorder="1" applyAlignment="1">
      <alignment horizontal="center" vertical="center" wrapText="1"/>
    </xf>
    <xf numFmtId="0" fontId="2" fillId="3" borderId="96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1" fillId="0" borderId="80" xfId="0" applyFont="1" applyBorder="1" applyAlignment="1">
      <alignment horizontal="center" vertical="center" wrapText="1"/>
    </xf>
    <xf numFmtId="0" fontId="1" fillId="0" borderId="81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0" fontId="1" fillId="0" borderId="95" xfId="0" applyFont="1" applyBorder="1" applyAlignment="1">
      <alignment horizontal="center" vertical="center" wrapText="1"/>
    </xf>
    <xf numFmtId="0" fontId="1" fillId="0" borderId="96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168" xfId="0" applyFont="1" applyBorder="1" applyAlignment="1">
      <alignment horizontal="center" vertical="center"/>
    </xf>
    <xf numFmtId="0" fontId="1" fillId="0" borderId="82" xfId="0" applyFont="1" applyBorder="1" applyAlignment="1">
      <alignment horizontal="center" vertical="center" wrapText="1"/>
    </xf>
    <xf numFmtId="0" fontId="1" fillId="0" borderId="83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 wrapText="1"/>
    </xf>
    <xf numFmtId="0" fontId="1" fillId="0" borderId="123" xfId="0" applyFont="1" applyBorder="1" applyAlignment="1">
      <alignment horizontal="center" vertical="center" wrapText="1"/>
    </xf>
    <xf numFmtId="0" fontId="2" fillId="4" borderId="120" xfId="0" applyFont="1" applyFill="1" applyBorder="1" applyAlignment="1">
      <alignment horizontal="center" vertical="center" wrapText="1"/>
    </xf>
    <xf numFmtId="0" fontId="2" fillId="4" borderId="121" xfId="0" applyFont="1" applyFill="1" applyBorder="1" applyAlignment="1">
      <alignment horizontal="center" vertical="center" wrapText="1"/>
    </xf>
    <xf numFmtId="0" fontId="1" fillId="0" borderId="120" xfId="0" applyFont="1" applyBorder="1" applyAlignment="1">
      <alignment horizontal="center" vertical="center" wrapText="1"/>
    </xf>
    <xf numFmtId="0" fontId="1" fillId="0" borderId="121" xfId="0" applyFont="1" applyBorder="1" applyAlignment="1">
      <alignment horizontal="center" vertical="center" wrapText="1"/>
    </xf>
    <xf numFmtId="0" fontId="5" fillId="0" borderId="68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1" fillId="0" borderId="136" xfId="0" applyFont="1" applyBorder="1" applyAlignment="1">
      <alignment horizontal="center" vertical="center" wrapText="1"/>
    </xf>
    <xf numFmtId="0" fontId="1" fillId="0" borderId="137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138" xfId="0" applyFont="1" applyBorder="1" applyAlignment="1">
      <alignment horizontal="center" vertical="center" wrapText="1"/>
    </xf>
    <xf numFmtId="0" fontId="1" fillId="0" borderId="139" xfId="0" applyFont="1" applyBorder="1" applyAlignment="1">
      <alignment horizontal="center" vertical="center" wrapText="1"/>
    </xf>
    <xf numFmtId="0" fontId="2" fillId="5" borderId="135" xfId="0" applyFont="1" applyFill="1" applyBorder="1" applyAlignment="1">
      <alignment horizontal="center" vertical="center" wrapText="1"/>
    </xf>
    <xf numFmtId="0" fontId="2" fillId="5" borderId="130" xfId="0" applyFont="1" applyFill="1" applyBorder="1" applyAlignment="1">
      <alignment horizontal="center" vertical="center" wrapText="1"/>
    </xf>
    <xf numFmtId="0" fontId="1" fillId="0" borderId="135" xfId="0" applyFont="1" applyBorder="1" applyAlignment="1">
      <alignment horizontal="center" vertical="center" wrapText="1"/>
    </xf>
    <xf numFmtId="0" fontId="1" fillId="0" borderId="130" xfId="0" applyFont="1" applyBorder="1" applyAlignment="1">
      <alignment horizontal="center" vertical="center" wrapText="1"/>
    </xf>
    <xf numFmtId="0" fontId="1" fillId="0" borderId="128" xfId="0" applyFont="1" applyBorder="1" applyAlignment="1">
      <alignment horizontal="center" vertical="center" wrapText="1"/>
    </xf>
    <xf numFmtId="0" fontId="1" fillId="0" borderId="129" xfId="0" applyFont="1" applyBorder="1" applyAlignment="1">
      <alignment horizontal="center" vertical="center" wrapText="1"/>
    </xf>
    <xf numFmtId="0" fontId="2" fillId="5" borderId="128" xfId="0" applyFont="1" applyFill="1" applyBorder="1" applyAlignment="1">
      <alignment horizontal="center" vertical="center" wrapText="1"/>
    </xf>
    <xf numFmtId="0" fontId="2" fillId="5" borderId="129" xfId="0" applyFont="1" applyFill="1" applyBorder="1" applyAlignment="1">
      <alignment horizontal="center" vertical="center" wrapText="1"/>
    </xf>
    <xf numFmtId="0" fontId="5" fillId="0" borderId="134" xfId="0" applyFont="1" applyBorder="1" applyAlignment="1">
      <alignment horizontal="center" vertical="center"/>
    </xf>
    <xf numFmtId="0" fontId="5" fillId="0" borderId="132" xfId="0" applyFont="1" applyBorder="1" applyAlignment="1">
      <alignment horizontal="center" vertical="center"/>
    </xf>
    <xf numFmtId="0" fontId="5" fillId="0" borderId="133" xfId="0" applyFont="1" applyBorder="1" applyAlignment="1">
      <alignment horizontal="center" vertical="center"/>
    </xf>
    <xf numFmtId="0" fontId="5" fillId="0" borderId="13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5" fillId="0" borderId="101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79" xfId="0" applyFont="1" applyBorder="1" applyAlignment="1">
      <alignment horizontal="center" vertical="center"/>
    </xf>
    <xf numFmtId="0" fontId="4" fillId="2" borderId="84" xfId="0" applyFont="1" applyFill="1" applyBorder="1" applyAlignment="1">
      <alignment horizontal="center" vertical="center" wrapText="1"/>
    </xf>
    <xf numFmtId="0" fontId="4" fillId="2" borderId="85" xfId="0" applyFont="1" applyFill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88" xfId="0" applyFont="1" applyBorder="1" applyAlignment="1">
      <alignment horizontal="center" vertical="center" wrapText="1"/>
    </xf>
    <xf numFmtId="0" fontId="1" fillId="0" borderId="89" xfId="0" applyFont="1" applyBorder="1" applyAlignment="1">
      <alignment horizontal="center" vertical="center" wrapText="1"/>
    </xf>
    <xf numFmtId="0" fontId="5" fillId="0" borderId="149" xfId="0" applyFont="1" applyBorder="1" applyAlignment="1">
      <alignment horizontal="center" vertical="center"/>
    </xf>
    <xf numFmtId="0" fontId="5" fillId="0" borderId="76" xfId="0" applyFont="1" applyBorder="1" applyAlignment="1">
      <alignment horizontal="center" vertical="center"/>
    </xf>
    <xf numFmtId="0" fontId="5" fillId="0" borderId="67" xfId="0" applyFont="1" applyBorder="1" applyAlignment="1">
      <alignment horizontal="center" vertical="center"/>
    </xf>
    <xf numFmtId="0" fontId="5" fillId="0" borderId="75" xfId="0" applyFont="1" applyBorder="1" applyAlignment="1">
      <alignment horizontal="center" vertical="center"/>
    </xf>
    <xf numFmtId="0" fontId="5" fillId="0" borderId="78" xfId="0" applyFont="1" applyBorder="1" applyAlignment="1">
      <alignment horizontal="center" vertical="center"/>
    </xf>
    <xf numFmtId="0" fontId="1" fillId="0" borderId="90" xfId="0" applyFont="1" applyBorder="1" applyAlignment="1">
      <alignment horizontal="center" vertical="center" wrapText="1"/>
    </xf>
    <xf numFmtId="0" fontId="1" fillId="0" borderId="91" xfId="0" applyFont="1" applyBorder="1" applyAlignment="1">
      <alignment horizontal="center" vertical="center" wrapText="1"/>
    </xf>
    <xf numFmtId="0" fontId="2" fillId="2" borderId="86" xfId="0" applyFont="1" applyFill="1" applyBorder="1" applyAlignment="1">
      <alignment horizontal="center" vertical="center" wrapText="1"/>
    </xf>
    <xf numFmtId="0" fontId="2" fillId="2" borderId="87" xfId="0" applyFont="1" applyFill="1" applyBorder="1" applyAlignment="1">
      <alignment horizontal="center" vertical="center" wrapText="1"/>
    </xf>
    <xf numFmtId="0" fontId="5" fillId="0" borderId="148" xfId="0" applyFont="1" applyBorder="1" applyAlignment="1">
      <alignment horizontal="center" vertical="center"/>
    </xf>
    <xf numFmtId="0" fontId="1" fillId="0" borderId="86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5" fillId="0" borderId="92" xfId="0" applyFont="1" applyBorder="1" applyAlignment="1">
      <alignment horizontal="center" vertical="center"/>
    </xf>
    <xf numFmtId="0" fontId="5" fillId="0" borderId="173" xfId="0" applyFont="1" applyBorder="1" applyAlignment="1">
      <alignment horizontal="center" vertical="center"/>
    </xf>
    <xf numFmtId="0" fontId="2" fillId="4" borderId="124" xfId="0" applyFont="1" applyFill="1" applyBorder="1" applyAlignment="1">
      <alignment horizontal="center" vertical="center" wrapText="1"/>
    </xf>
    <xf numFmtId="0" fontId="2" fillId="4" borderId="125" xfId="0" applyFont="1" applyFill="1" applyBorder="1" applyAlignment="1">
      <alignment horizontal="center" vertical="center" wrapText="1"/>
    </xf>
    <xf numFmtId="0" fontId="1" fillId="0" borderId="124" xfId="0" applyFont="1" applyBorder="1" applyAlignment="1">
      <alignment horizontal="center" vertical="center" wrapText="1"/>
    </xf>
    <xf numFmtId="0" fontId="1" fillId="0" borderId="125" xfId="0" applyFont="1" applyBorder="1" applyAlignment="1">
      <alignment horizontal="center" vertical="center" wrapText="1"/>
    </xf>
    <xf numFmtId="0" fontId="5" fillId="0" borderId="94" xfId="0" applyFont="1" applyBorder="1" applyAlignment="1">
      <alignment horizontal="center"/>
    </xf>
    <xf numFmtId="0" fontId="5" fillId="0" borderId="163" xfId="0" applyFont="1" applyBorder="1" applyAlignment="1">
      <alignment horizontal="center"/>
    </xf>
    <xf numFmtId="3" fontId="22" fillId="0" borderId="0" xfId="0" applyNumberFormat="1" applyFont="1" applyAlignment="1">
      <alignment horizontal="center" vertical="center" wrapText="1"/>
    </xf>
    <xf numFmtId="0" fontId="5" fillId="0" borderId="102" xfId="0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2" borderId="169" xfId="0" applyFont="1" applyFill="1" applyBorder="1" applyAlignment="1">
      <alignment horizontal="center" vertical="center" wrapText="1"/>
    </xf>
    <xf numFmtId="3" fontId="22" fillId="0" borderId="14" xfId="0" applyNumberFormat="1" applyFont="1" applyBorder="1" applyAlignment="1">
      <alignment horizontal="center" vertical="center" wrapText="1"/>
    </xf>
    <xf numFmtId="3" fontId="22" fillId="0" borderId="169" xfId="0" applyNumberFormat="1" applyFont="1" applyBorder="1" applyAlignment="1">
      <alignment horizontal="center" vertical="center" wrapText="1"/>
    </xf>
    <xf numFmtId="0" fontId="5" fillId="0" borderId="52" xfId="0" applyFont="1" applyBorder="1" applyAlignment="1">
      <alignment horizontal="center" vertical="center"/>
    </xf>
    <xf numFmtId="0" fontId="5" fillId="0" borderId="140" xfId="0" applyFont="1" applyBorder="1" applyAlignment="1">
      <alignment horizontal="center" vertical="center"/>
    </xf>
    <xf numFmtId="0" fontId="2" fillId="11" borderId="180" xfId="0" applyFont="1" applyFill="1" applyBorder="1" applyAlignment="1">
      <alignment horizontal="center" vertical="center" wrapText="1"/>
    </xf>
    <xf numFmtId="0" fontId="2" fillId="11" borderId="181" xfId="0" applyFont="1" applyFill="1" applyBorder="1" applyAlignment="1">
      <alignment horizontal="center" vertical="center" wrapText="1"/>
    </xf>
    <xf numFmtId="3" fontId="22" fillId="0" borderId="180" xfId="0" applyNumberFormat="1" applyFont="1" applyBorder="1" applyAlignment="1">
      <alignment horizontal="center" vertical="center" wrapText="1"/>
    </xf>
    <xf numFmtId="3" fontId="22" fillId="0" borderId="181" xfId="0" applyNumberFormat="1" applyFont="1" applyBorder="1" applyAlignment="1">
      <alignment horizontal="center" vertical="center" wrapText="1"/>
    </xf>
    <xf numFmtId="0" fontId="1" fillId="0" borderId="142" xfId="0" applyFont="1" applyBorder="1" applyAlignment="1">
      <alignment horizontal="center" vertical="center" wrapText="1"/>
    </xf>
    <xf numFmtId="0" fontId="1" fillId="0" borderId="143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5" fillId="0" borderId="66" xfId="0" applyFont="1" applyBorder="1" applyAlignment="1">
      <alignment horizontal="center"/>
    </xf>
    <xf numFmtId="0" fontId="1" fillId="0" borderId="126" xfId="0" applyFont="1" applyBorder="1" applyAlignment="1">
      <alignment horizontal="center" vertical="center" wrapText="1"/>
    </xf>
    <xf numFmtId="0" fontId="1" fillId="0" borderId="127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/>
    </xf>
    <xf numFmtId="0" fontId="2" fillId="13" borderId="70" xfId="0" applyFont="1" applyFill="1" applyBorder="1" applyAlignment="1">
      <alignment horizontal="center" vertical="center" wrapText="1"/>
    </xf>
    <xf numFmtId="0" fontId="2" fillId="13" borderId="7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7" fillId="0" borderId="0" xfId="0" applyFont="1" applyAlignment="1">
      <alignment horizontal="left" vertical="center" wrapText="1"/>
    </xf>
    <xf numFmtId="0" fontId="1" fillId="0" borderId="70" xfId="0" applyFont="1" applyBorder="1" applyAlignment="1">
      <alignment horizontal="center" vertical="center" wrapText="1"/>
    </xf>
    <xf numFmtId="0" fontId="1" fillId="0" borderId="71" xfId="0" applyFont="1" applyBorder="1" applyAlignment="1">
      <alignment horizontal="center" vertical="center" wrapText="1"/>
    </xf>
    <xf numFmtId="43" fontId="0" fillId="0" borderId="0" xfId="2" applyFont="1" applyAlignment="1">
      <alignment horizontal="center"/>
    </xf>
    <xf numFmtId="0" fontId="20" fillId="0" borderId="114" xfId="0" applyFont="1" applyBorder="1" applyAlignment="1">
      <alignment horizontal="left" vertical="center" wrapText="1" indent="1"/>
    </xf>
    <xf numFmtId="0" fontId="20" fillId="0" borderId="116" xfId="0" applyFont="1" applyBorder="1" applyAlignment="1">
      <alignment horizontal="left" vertical="center" wrapText="1" indent="1"/>
    </xf>
    <xf numFmtId="0" fontId="20" fillId="0" borderId="115" xfId="0" applyFont="1" applyBorder="1" applyAlignment="1">
      <alignment horizontal="left" vertical="center" wrapText="1" indent="1"/>
    </xf>
    <xf numFmtId="0" fontId="20" fillId="0" borderId="144" xfId="0" applyFont="1" applyBorder="1" applyAlignment="1">
      <alignment horizontal="left" vertical="center" wrapText="1" indent="1"/>
    </xf>
    <xf numFmtId="0" fontId="5" fillId="0" borderId="74" xfId="0" applyFont="1" applyBorder="1" applyAlignment="1">
      <alignment horizontal="center" vertical="center"/>
    </xf>
    <xf numFmtId="0" fontId="24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0" fontId="24" fillId="0" borderId="156" xfId="0" applyFont="1" applyBorder="1" applyAlignment="1">
      <alignment horizontal="left" wrapText="1"/>
    </xf>
    <xf numFmtId="0" fontId="24" fillId="0" borderId="156" xfId="0" applyFont="1" applyBorder="1" applyAlignment="1">
      <alignment horizontal="left" wrapText="1" indent="1"/>
    </xf>
    <xf numFmtId="0" fontId="24" fillId="0" borderId="156" xfId="0" applyFont="1" applyBorder="1" applyAlignment="1">
      <alignment horizontal="left" vertical="center" wrapText="1" indent="3"/>
    </xf>
    <xf numFmtId="0" fontId="24" fillId="0" borderId="156" xfId="0" applyFont="1" applyBorder="1" applyAlignment="1">
      <alignment horizontal="left" vertical="center" wrapText="1" indent="1"/>
    </xf>
    <xf numFmtId="0" fontId="29" fillId="0" borderId="156" xfId="0" applyFont="1" applyBorder="1" applyAlignment="1">
      <alignment horizontal="center" vertical="center" wrapText="1"/>
    </xf>
    <xf numFmtId="0" fontId="24" fillId="0" borderId="156" xfId="0" applyFont="1" applyBorder="1" applyAlignment="1">
      <alignment horizontal="left" vertical="top" wrapText="1" indent="1"/>
    </xf>
    <xf numFmtId="0" fontId="24" fillId="0" borderId="156" xfId="0" applyFont="1" applyBorder="1" applyAlignment="1">
      <alignment horizontal="center" wrapText="1"/>
    </xf>
    <xf numFmtId="0" fontId="24" fillId="0" borderId="156" xfId="0" applyFont="1" applyBorder="1" applyAlignment="1">
      <alignment horizontal="left" vertical="center" wrapText="1" indent="2"/>
    </xf>
    <xf numFmtId="0" fontId="24" fillId="0" borderId="156" xfId="0" applyFont="1" applyBorder="1" applyAlignment="1">
      <alignment horizontal="center" vertical="center" wrapText="1"/>
    </xf>
    <xf numFmtId="0" fontId="30" fillId="0" borderId="156" xfId="0" applyFont="1" applyBorder="1" applyAlignment="1">
      <alignment horizontal="left" vertical="center" wrapText="1" indent="1"/>
    </xf>
    <xf numFmtId="0" fontId="24" fillId="0" borderId="156" xfId="0" applyFont="1" applyBorder="1" applyAlignment="1">
      <alignment horizontal="left" wrapText="1" indent="3"/>
    </xf>
    <xf numFmtId="49" fontId="33" fillId="0" borderId="156" xfId="0" applyNumberFormat="1" applyFont="1" applyBorder="1" applyAlignment="1">
      <alignment horizontal="left" vertical="top" wrapText="1" indent="2"/>
    </xf>
    <xf numFmtId="0" fontId="24" fillId="0" borderId="156" xfId="0" applyFont="1" applyBorder="1" applyAlignment="1">
      <alignment horizontal="left" vertical="top" wrapText="1" indent="2"/>
    </xf>
    <xf numFmtId="0" fontId="36" fillId="0" borderId="156" xfId="0" applyFont="1" applyBorder="1" applyAlignment="1">
      <alignment horizontal="center" vertical="center" wrapText="1"/>
    </xf>
    <xf numFmtId="0" fontId="35" fillId="0" borderId="156" xfId="0" applyFont="1" applyBorder="1" applyAlignment="1">
      <alignment horizontal="center" vertical="center" wrapText="1"/>
    </xf>
    <xf numFmtId="0" fontId="24" fillId="0" borderId="156" xfId="0" applyFont="1" applyBorder="1" applyAlignment="1">
      <alignment horizontal="left" vertical="center" wrapText="1"/>
    </xf>
  </cellXfs>
  <cellStyles count="5">
    <cellStyle name="Гиперссылка" xfId="4" builtinId="8"/>
    <cellStyle name="Обычный" xfId="0" builtinId="0"/>
    <cellStyle name="Процентный" xfId="1" builtinId="5"/>
    <cellStyle name="Финансовый" xfId="2" builtinId="3"/>
    <cellStyle name="Финансовый 2" xfId="3" xr:uid="{A415B2DA-4F69-49EF-8246-B8BF20716D80}"/>
  </cellStyles>
  <dxfs count="838"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 patternType="none">
          <fgColor indexed="64"/>
          <bgColor indexed="65"/>
        </patternFill>
      </fill>
    </dxf>
    <dxf>
      <fill>
        <patternFill>
          <bgColor rgb="FFFFD998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rgb="FFFFD998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rgb="FF00B050"/>
      </font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rgb="FF00B050"/>
      </font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rgb="FF00B050"/>
      </font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solid">
          <fgColor rgb="FFDDEBF7"/>
          <bgColor rgb="FFFFFFFF"/>
        </patternFill>
      </fill>
    </dxf>
  </dxfs>
  <tableStyles count="0" defaultTableStyle="TableStyleMedium2" defaultPivotStyle="PivotStyleLight16"/>
  <colors>
    <mruColors>
      <color rgb="FFFFD998"/>
      <color rgb="FF4878A1"/>
      <color rgb="FFFFCC72"/>
      <color rgb="FFFF8F43"/>
      <color rgb="FFFF6600"/>
      <color rgb="FF7EBA56"/>
      <color rgb="FF666699"/>
      <color rgb="FFBD2B09"/>
      <color rgb="FFFFC305"/>
      <color rgb="FFB98A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8</xdr:row>
      <xdr:rowOff>457201</xdr:rowOff>
    </xdr:from>
    <xdr:to>
      <xdr:col>2</xdr:col>
      <xdr:colOff>4547155</xdr:colOff>
      <xdr:row>8</xdr:row>
      <xdr:rowOff>685801</xdr:rowOff>
    </xdr:to>
    <xdr:pic>
      <xdr:nvPicPr>
        <xdr:cNvPr id="14" name="Picture 14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57625" y="5419726"/>
          <a:ext cx="4432855" cy="228600"/>
        </a:xfrm>
        <a:prstGeom prst="rect">
          <a:avLst/>
        </a:prstGeom>
      </xdr:spPr>
    </xdr:pic>
    <xdr:clientData/>
  </xdr:twoCellAnchor>
  <xdr:twoCellAnchor>
    <xdr:from>
      <xdr:col>2</xdr:col>
      <xdr:colOff>152400</xdr:colOff>
      <xdr:row>2</xdr:row>
      <xdr:rowOff>53340</xdr:rowOff>
    </xdr:from>
    <xdr:to>
      <xdr:col>2</xdr:col>
      <xdr:colOff>4114800</xdr:colOff>
      <xdr:row>2</xdr:row>
      <xdr:rowOff>655320</xdr:rowOff>
    </xdr:to>
    <xdr:pic>
      <xdr:nvPicPr>
        <xdr:cNvPr id="5" name="Рисунок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5472"/>
        <a:stretch/>
      </xdr:blipFill>
      <xdr:spPr bwMode="auto">
        <a:xfrm>
          <a:off x="3322320" y="419100"/>
          <a:ext cx="3962400" cy="6019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175259</xdr:colOff>
      <xdr:row>5</xdr:row>
      <xdr:rowOff>99060</xdr:rowOff>
    </xdr:from>
    <xdr:to>
      <xdr:col>2</xdr:col>
      <xdr:colOff>4134305</xdr:colOff>
      <xdr:row>5</xdr:row>
      <xdr:rowOff>971549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45179" y="1143000"/>
          <a:ext cx="3949521" cy="868679"/>
        </a:xfrm>
        <a:prstGeom prst="rect">
          <a:avLst/>
        </a:prstGeom>
      </xdr:spPr>
    </xdr:pic>
    <xdr:clientData/>
  </xdr:twoCellAnchor>
  <xdr:twoCellAnchor>
    <xdr:from>
      <xdr:col>2</xdr:col>
      <xdr:colOff>144780</xdr:colOff>
      <xdr:row>6</xdr:row>
      <xdr:rowOff>53340</xdr:rowOff>
    </xdr:from>
    <xdr:to>
      <xdr:col>2</xdr:col>
      <xdr:colOff>2392680</xdr:colOff>
      <xdr:row>6</xdr:row>
      <xdr:rowOff>480060</xdr:rowOff>
    </xdr:to>
    <xdr:pic>
      <xdr:nvPicPr>
        <xdr:cNvPr id="7" name="Рисунок 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2141220"/>
          <a:ext cx="2247900" cy="4267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152400</xdr:colOff>
      <xdr:row>7</xdr:row>
      <xdr:rowOff>91441</xdr:rowOff>
    </xdr:from>
    <xdr:to>
      <xdr:col>2</xdr:col>
      <xdr:colOff>4533900</xdr:colOff>
      <xdr:row>7</xdr:row>
      <xdr:rowOff>743586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22320" y="2712721"/>
          <a:ext cx="4381500" cy="642620"/>
        </a:xfrm>
        <a:prstGeom prst="rect">
          <a:avLst/>
        </a:prstGeom>
      </xdr:spPr>
    </xdr:pic>
    <xdr:clientData/>
  </xdr:twoCellAnchor>
  <xdr:twoCellAnchor editAs="oneCell">
    <xdr:from>
      <xdr:col>2</xdr:col>
      <xdr:colOff>144780</xdr:colOff>
      <xdr:row>9</xdr:row>
      <xdr:rowOff>45720</xdr:rowOff>
    </xdr:from>
    <xdr:to>
      <xdr:col>2</xdr:col>
      <xdr:colOff>2346684</xdr:colOff>
      <xdr:row>9</xdr:row>
      <xdr:rowOff>363817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14700" y="3505200"/>
          <a:ext cx="2209524" cy="304762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10</xdr:row>
      <xdr:rowOff>99060</xdr:rowOff>
    </xdr:from>
    <xdr:to>
      <xdr:col>2</xdr:col>
      <xdr:colOff>1923827</xdr:colOff>
      <xdr:row>10</xdr:row>
      <xdr:rowOff>422870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22320" y="3962400"/>
          <a:ext cx="1780952" cy="323810"/>
        </a:xfrm>
        <a:prstGeom prst="rect">
          <a:avLst/>
        </a:prstGeom>
      </xdr:spPr>
    </xdr:pic>
    <xdr:clientData/>
  </xdr:twoCellAnchor>
  <xdr:twoCellAnchor>
    <xdr:from>
      <xdr:col>2</xdr:col>
      <xdr:colOff>137159</xdr:colOff>
      <xdr:row>12</xdr:row>
      <xdr:rowOff>68580</xdr:rowOff>
    </xdr:from>
    <xdr:to>
      <xdr:col>2</xdr:col>
      <xdr:colOff>2403720</xdr:colOff>
      <xdr:row>12</xdr:row>
      <xdr:rowOff>472440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79" y="4480560"/>
          <a:ext cx="2266561" cy="403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114300</xdr:colOff>
      <xdr:row>13</xdr:row>
      <xdr:rowOff>114300</xdr:rowOff>
    </xdr:from>
    <xdr:to>
      <xdr:col>2</xdr:col>
      <xdr:colOff>2607634</xdr:colOff>
      <xdr:row>13</xdr:row>
      <xdr:rowOff>780965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84220" y="5074920"/>
          <a:ext cx="2485714" cy="676190"/>
        </a:xfrm>
        <a:prstGeom prst="rect">
          <a:avLst/>
        </a:prstGeom>
      </xdr:spPr>
    </xdr:pic>
    <xdr:clientData/>
  </xdr:twoCellAnchor>
  <xdr:twoCellAnchor editAs="oneCell">
    <xdr:from>
      <xdr:col>2</xdr:col>
      <xdr:colOff>144780</xdr:colOff>
      <xdr:row>3</xdr:row>
      <xdr:rowOff>45720</xdr:rowOff>
    </xdr:from>
    <xdr:to>
      <xdr:col>2</xdr:col>
      <xdr:colOff>1144780</xdr:colOff>
      <xdr:row>3</xdr:row>
      <xdr:rowOff>321945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7868"/>
        <a:stretch/>
      </xdr:blipFill>
      <xdr:spPr>
        <a:xfrm>
          <a:off x="3992880" y="1287780"/>
          <a:ext cx="1000000" cy="289560"/>
        </a:xfrm>
        <a:prstGeom prst="rect">
          <a:avLst/>
        </a:prstGeom>
      </xdr:spPr>
    </xdr:pic>
    <xdr:clientData/>
  </xdr:twoCellAnchor>
  <xdr:oneCellAnchor>
    <xdr:from>
      <xdr:col>2</xdr:col>
      <xdr:colOff>104775</xdr:colOff>
      <xdr:row>4</xdr:row>
      <xdr:rowOff>104775</xdr:rowOff>
    </xdr:from>
    <xdr:ext cx="2489524" cy="670475"/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952875" y="1743075"/>
          <a:ext cx="2489524" cy="670475"/>
        </a:xfrm>
        <a:prstGeom prst="rect">
          <a:avLst/>
        </a:prstGeom>
      </xdr:spPr>
    </xdr:pic>
    <xdr:clientData/>
  </xdr:oneCellAnchor>
  <xdr:twoCellAnchor editAs="oneCell">
    <xdr:from>
      <xdr:col>2</xdr:col>
      <xdr:colOff>152400</xdr:colOff>
      <xdr:row>8</xdr:row>
      <xdr:rowOff>38100</xdr:rowOff>
    </xdr:from>
    <xdr:to>
      <xdr:col>2</xdr:col>
      <xdr:colOff>1716539</xdr:colOff>
      <xdr:row>8</xdr:row>
      <xdr:rowOff>400050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95725" y="5000625"/>
          <a:ext cx="1564139" cy="3619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203</xdr:row>
          <xdr:rowOff>101600</xdr:rowOff>
        </xdr:from>
        <xdr:to>
          <xdr:col>2</xdr:col>
          <xdr:colOff>2197100</xdr:colOff>
          <xdr:row>205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Создать чек-лист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205</xdr:row>
          <xdr:rowOff>139700</xdr:rowOff>
        </xdr:from>
        <xdr:to>
          <xdr:col>2</xdr:col>
          <xdr:colOff>2197100</xdr:colOff>
          <xdr:row>208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Вернуться к вопросам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208</xdr:row>
          <xdr:rowOff>25400</xdr:rowOff>
        </xdr:from>
        <xdr:to>
          <xdr:col>2</xdr:col>
          <xdr:colOff>2197100</xdr:colOff>
          <xdr:row>211</xdr:row>
          <xdr:rowOff>38100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Очистить все данные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(действие не отменить)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ksandr/Library/Containers/com.microsoft.Excel/Data/Documents/C:\Users\AAKvitko\Desktop\&#1063;&#1077;&#1082;-&#1083;&#1080;&#1089;&#1090;&#1099;\&#1055;&#1088;&#1080;&#1084;&#1077;&#1088;%20&#1087;&#1086;%20&#1095;&#1077;&#1082;-&#1083;&#1080;&#1089;&#1090;&#1091;%20&#1055;&#1088;&#1080;&#1074;&#1086;&#1076;&#1085;&#1072;&#1103;%20&#1090;&#1077;&#1093;&#1085;&#1080;&#1082;&#1072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ksandr/Library/Containers/com.microsoft.Excel/Data/Documents/C:\Users\AAKvitko\Desktop\&#1063;&#1077;&#1082;-&#1083;&#1080;&#1089;&#1090;&#1099;\&#1055;&#1088;&#1080;&#1084;&#1077;&#1088;%20&#1087;&#1086;%20&#1095;&#1077;&#1082;-&#1083;&#1080;&#1089;&#1090;&#1091;_&#1090;&#1077;&#1089;&#1090;%20v1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списки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списки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cbr.ru/key-indicators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D81C8-46EC-4F58-9EC8-025A32B7D1F3}">
  <sheetPr codeName="Лист1">
    <tabColor theme="2" tint="-9.9978637043366805E-2"/>
  </sheetPr>
  <dimension ref="A1:G20"/>
  <sheetViews>
    <sheetView topLeftCell="A10" workbookViewId="0">
      <selection activeCell="H5" sqref="H5"/>
    </sheetView>
  </sheetViews>
  <sheetFormatPr baseColWidth="10" defaultColWidth="8.83203125" defaultRowHeight="15" x14ac:dyDescent="0.2"/>
  <cols>
    <col min="1" max="1" width="14.5" customWidth="1"/>
    <col min="2" max="2" width="46" customWidth="1"/>
    <col min="3" max="3" width="68.33203125" customWidth="1"/>
  </cols>
  <sheetData>
    <row r="1" spans="1:7" s="302" customFormat="1" ht="23.5" customHeight="1" x14ac:dyDescent="0.2">
      <c r="A1" s="59" t="s">
        <v>0</v>
      </c>
      <c r="C1" s="471" t="str">
        <f>'Чек-лист'!K1</f>
        <v>Версия 5.2</v>
      </c>
    </row>
    <row r="2" spans="1:7" s="307" customFormat="1" ht="21" customHeight="1" x14ac:dyDescent="0.2">
      <c r="A2" s="306" t="s">
        <v>1</v>
      </c>
      <c r="B2" s="306" t="s">
        <v>2</v>
      </c>
      <c r="C2" s="306" t="s">
        <v>3</v>
      </c>
    </row>
    <row r="3" spans="1:7" ht="53.5" customHeight="1" x14ac:dyDescent="0.2">
      <c r="A3" s="305">
        <v>1</v>
      </c>
      <c r="B3" s="303" t="s">
        <v>4</v>
      </c>
      <c r="C3" s="304"/>
    </row>
    <row r="4" spans="1:7" ht="32" customHeight="1" x14ac:dyDescent="0.2">
      <c r="A4" s="305">
        <v>2</v>
      </c>
      <c r="B4" s="303" t="s">
        <v>5</v>
      </c>
      <c r="C4" s="304"/>
    </row>
    <row r="5" spans="1:7" ht="72" customHeight="1" x14ac:dyDescent="0.2">
      <c r="A5" s="305">
        <v>3</v>
      </c>
      <c r="B5" s="303" t="s">
        <v>6</v>
      </c>
      <c r="C5" s="304"/>
    </row>
    <row r="6" spans="1:7" ht="82.25" customHeight="1" x14ac:dyDescent="0.2">
      <c r="A6" s="305">
        <v>4</v>
      </c>
      <c r="B6" s="303" t="s">
        <v>7</v>
      </c>
      <c r="C6" s="304"/>
    </row>
    <row r="7" spans="1:7" ht="42" customHeight="1" x14ac:dyDescent="0.2">
      <c r="A7" s="305">
        <v>5</v>
      </c>
      <c r="B7" s="303" t="s">
        <v>8</v>
      </c>
      <c r="C7" s="304"/>
    </row>
    <row r="8" spans="1:7" ht="66" customHeight="1" x14ac:dyDescent="0.2">
      <c r="A8" s="305">
        <v>6</v>
      </c>
      <c r="B8" s="303" t="s">
        <v>693</v>
      </c>
      <c r="C8" s="304"/>
    </row>
    <row r="9" spans="1:7" ht="78" customHeight="1" x14ac:dyDescent="0.2">
      <c r="A9" s="305">
        <v>7</v>
      </c>
      <c r="B9" s="303" t="s">
        <v>665</v>
      </c>
      <c r="C9" s="304"/>
    </row>
    <row r="10" spans="1:7" ht="32" customHeight="1" x14ac:dyDescent="0.2">
      <c r="A10" s="305">
        <v>8</v>
      </c>
      <c r="B10" s="303" t="s">
        <v>9</v>
      </c>
      <c r="C10" s="304"/>
    </row>
    <row r="11" spans="1:7" ht="32" x14ac:dyDescent="0.2">
      <c r="A11" s="305">
        <v>9</v>
      </c>
      <c r="B11" s="303" t="s">
        <v>10</v>
      </c>
      <c r="C11" s="304"/>
    </row>
    <row r="12" spans="1:7" x14ac:dyDescent="0.2">
      <c r="A12" s="305"/>
      <c r="B12" s="303"/>
      <c r="C12" s="304"/>
    </row>
    <row r="13" spans="1:7" ht="48" x14ac:dyDescent="0.2">
      <c r="A13" s="305" t="s">
        <v>11</v>
      </c>
      <c r="B13" s="303" t="s">
        <v>12</v>
      </c>
      <c r="C13" s="304"/>
      <c r="G13" t="s">
        <v>13</v>
      </c>
    </row>
    <row r="14" spans="1:7" ht="80" x14ac:dyDescent="0.2">
      <c r="A14" s="305" t="s">
        <v>11</v>
      </c>
      <c r="B14" s="303" t="s">
        <v>14</v>
      </c>
      <c r="C14" s="304"/>
    </row>
    <row r="15" spans="1:7" x14ac:dyDescent="0.2">
      <c r="B15" s="301"/>
    </row>
    <row r="16" spans="1:7" x14ac:dyDescent="0.2">
      <c r="B16" s="301"/>
    </row>
    <row r="17" spans="2:2" x14ac:dyDescent="0.2">
      <c r="B17" s="301"/>
    </row>
    <row r="18" spans="2:2" x14ac:dyDescent="0.2">
      <c r="B18" s="301"/>
    </row>
    <row r="19" spans="2:2" x14ac:dyDescent="0.2">
      <c r="B19" s="301"/>
    </row>
    <row r="20" spans="2:2" x14ac:dyDescent="0.2">
      <c r="B20" s="30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D3187-824C-40A3-BCFA-343196E994EB}">
  <sheetPr codeName="Лист31" filterMode="1">
    <tabColor rgb="FF00B050"/>
  </sheetPr>
  <dimension ref="A1:R204"/>
  <sheetViews>
    <sheetView showGridLines="0" tabSelected="1" topLeftCell="A12" zoomScaleNormal="141" zoomScaleSheetLayoutView="100" workbookViewId="0">
      <selection activeCell="G85" sqref="G85"/>
    </sheetView>
  </sheetViews>
  <sheetFormatPr baseColWidth="10" defaultColWidth="8.6640625" defaultRowHeight="14" outlineLevelRow="1" outlineLevelCol="2" x14ac:dyDescent="0.15"/>
  <cols>
    <col min="1" max="1" width="8.6640625" style="236" customWidth="1"/>
    <col min="2" max="2" width="6.5" style="235" customWidth="1"/>
    <col min="3" max="3" width="81" style="234" customWidth="1"/>
    <col min="4" max="4" width="13.5" style="235" hidden="1" customWidth="1" outlineLevel="2"/>
    <col min="5" max="5" width="16.5" style="235" customWidth="1" outlineLevel="1" collapsed="1"/>
    <col min="6" max="6" width="8.6640625" style="235" hidden="1" customWidth="1" outlineLevel="2"/>
    <col min="7" max="7" width="28.83203125" style="236" customWidth="1"/>
    <col min="8" max="8" width="28.83203125" style="236" customWidth="1" outlineLevel="1"/>
    <col min="9" max="9" width="48.5" style="278" customWidth="1" outlineLevel="1"/>
    <col min="10" max="10" width="35.5" style="278" customWidth="1" outlineLevel="1"/>
    <col min="11" max="11" width="51.1640625" style="286" customWidth="1"/>
    <col min="12" max="12" width="31.6640625" style="290" customWidth="1"/>
    <col min="13" max="16384" width="8.6640625" style="236"/>
  </cols>
  <sheetData>
    <row r="1" spans="1:14" s="351" customFormat="1" ht="16" x14ac:dyDescent="0.2">
      <c r="A1" s="347"/>
      <c r="B1" s="348" t="s">
        <v>15</v>
      </c>
      <c r="C1" s="348"/>
      <c r="D1" s="235"/>
      <c r="E1" s="350"/>
      <c r="F1" s="235"/>
      <c r="I1" s="346"/>
      <c r="J1" s="346"/>
      <c r="K1" s="471" t="s">
        <v>695</v>
      </c>
      <c r="L1" s="352"/>
    </row>
    <row r="2" spans="1:14" s="351" customFormat="1" ht="16" x14ac:dyDescent="0.2">
      <c r="A2" s="498"/>
      <c r="B2" s="348" t="s">
        <v>16</v>
      </c>
      <c r="C2" s="348"/>
      <c r="D2" s="235"/>
      <c r="E2" s="350"/>
      <c r="F2" s="235"/>
      <c r="I2" s="345"/>
      <c r="J2" s="345"/>
      <c r="K2" s="353"/>
      <c r="L2" s="352"/>
    </row>
    <row r="3" spans="1:14" s="351" customFormat="1" ht="16" x14ac:dyDescent="0.2">
      <c r="A3" s="349"/>
      <c r="B3" s="348" t="s">
        <v>17</v>
      </c>
      <c r="C3" s="348"/>
      <c r="D3" s="235"/>
      <c r="E3" s="350"/>
      <c r="F3" s="235"/>
      <c r="I3" s="345"/>
      <c r="J3" s="345"/>
      <c r="K3" s="353"/>
      <c r="L3" s="352"/>
    </row>
    <row r="4" spans="1:14" ht="40.25" customHeight="1" outlineLevel="1" x14ac:dyDescent="0.2">
      <c r="B4" s="503" t="s">
        <v>18</v>
      </c>
      <c r="C4" s="504"/>
      <c r="D4" s="504"/>
      <c r="E4" s="504"/>
      <c r="F4" s="504"/>
      <c r="G4" s="504"/>
      <c r="H4" s="505"/>
      <c r="I4" s="279"/>
      <c r="J4" s="279"/>
      <c r="L4" s="236"/>
    </row>
    <row r="5" spans="1:14" ht="17" customHeight="1" outlineLevel="1" x14ac:dyDescent="0.15">
      <c r="B5" s="237"/>
      <c r="C5" s="321" t="s">
        <v>667</v>
      </c>
      <c r="D5" s="322"/>
      <c r="E5" s="510" t="s">
        <v>698</v>
      </c>
      <c r="F5" s="510"/>
      <c r="G5" s="510"/>
      <c r="H5" s="510"/>
      <c r="L5" s="236"/>
    </row>
    <row r="6" spans="1:14" ht="17" customHeight="1" outlineLevel="1" x14ac:dyDescent="0.15">
      <c r="B6" s="497"/>
      <c r="C6" s="321" t="s">
        <v>668</v>
      </c>
      <c r="D6" s="322"/>
      <c r="E6" s="510" t="s">
        <v>697</v>
      </c>
      <c r="F6" s="510"/>
      <c r="G6" s="510"/>
      <c r="H6" s="510"/>
      <c r="L6" s="236"/>
    </row>
    <row r="7" spans="1:14" ht="17" customHeight="1" outlineLevel="1" x14ac:dyDescent="0.15">
      <c r="B7" s="313"/>
      <c r="C7" s="323" t="s">
        <v>19</v>
      </c>
      <c r="D7" s="322"/>
      <c r="E7" s="510" t="s">
        <v>700</v>
      </c>
      <c r="F7" s="510"/>
      <c r="G7" s="510"/>
      <c r="H7" s="510"/>
      <c r="I7" s="280"/>
      <c r="J7" s="280"/>
      <c r="L7" s="236"/>
    </row>
    <row r="8" spans="1:14" ht="17" customHeight="1" outlineLevel="1" x14ac:dyDescent="0.15">
      <c r="B8" s="314"/>
      <c r="C8" s="324" t="s">
        <v>20</v>
      </c>
      <c r="D8" s="322"/>
      <c r="E8" s="515">
        <v>0.59</v>
      </c>
      <c r="F8" s="510"/>
      <c r="G8" s="510"/>
      <c r="H8" s="510"/>
      <c r="I8" s="280"/>
      <c r="J8" s="280"/>
      <c r="L8" s="236"/>
    </row>
    <row r="9" spans="1:14" ht="49.5" customHeight="1" outlineLevel="1" x14ac:dyDescent="0.15">
      <c r="B9" s="314"/>
      <c r="C9" s="324" t="s">
        <v>669</v>
      </c>
      <c r="D9" s="322"/>
      <c r="E9" s="510" t="s">
        <v>696</v>
      </c>
      <c r="F9" s="510"/>
      <c r="G9" s="510"/>
      <c r="H9" s="510"/>
      <c r="I9" s="521" t="s">
        <v>694</v>
      </c>
      <c r="J9" s="521"/>
      <c r="L9" s="236"/>
    </row>
    <row r="10" spans="1:14" ht="201" customHeight="1" outlineLevel="1" x14ac:dyDescent="0.15">
      <c r="B10" s="314"/>
      <c r="C10" s="488" t="s">
        <v>633</v>
      </c>
      <c r="D10" s="322"/>
      <c r="E10" s="510" t="s">
        <v>701</v>
      </c>
      <c r="F10" s="510"/>
      <c r="G10" s="510"/>
      <c r="H10" s="510"/>
      <c r="I10" s="516" t="s">
        <v>648</v>
      </c>
      <c r="J10" s="516"/>
      <c r="L10" s="236"/>
    </row>
    <row r="11" spans="1:14" ht="329.5" customHeight="1" outlineLevel="1" x14ac:dyDescent="0.15">
      <c r="B11" s="487"/>
      <c r="C11" s="488" t="s">
        <v>634</v>
      </c>
      <c r="D11" s="322"/>
      <c r="E11" s="510" t="s">
        <v>702</v>
      </c>
      <c r="F11" s="510"/>
      <c r="G11" s="510"/>
      <c r="H11" s="510"/>
      <c r="I11" s="517" t="s">
        <v>649</v>
      </c>
      <c r="J11" s="517"/>
      <c r="L11" s="236"/>
    </row>
    <row r="12" spans="1:14" ht="136.75" customHeight="1" outlineLevel="1" x14ac:dyDescent="0.15">
      <c r="B12" s="487"/>
      <c r="C12" s="488" t="s">
        <v>635</v>
      </c>
      <c r="D12" s="322"/>
      <c r="E12" s="514"/>
      <c r="F12" s="514"/>
      <c r="G12" s="514"/>
      <c r="H12" s="514"/>
      <c r="I12" s="518" t="s">
        <v>650</v>
      </c>
      <c r="J12" s="517"/>
      <c r="L12" s="236"/>
    </row>
    <row r="13" spans="1:14" ht="8.5" customHeight="1" outlineLevel="1" x14ac:dyDescent="0.15">
      <c r="B13" s="499"/>
      <c r="C13" s="325"/>
      <c r="D13" s="509"/>
      <c r="E13" s="509"/>
      <c r="F13" s="499"/>
      <c r="G13" s="500"/>
      <c r="H13" s="500"/>
      <c r="I13" s="288"/>
      <c r="J13" s="288"/>
      <c r="K13" s="288"/>
      <c r="L13" s="236"/>
    </row>
    <row r="14" spans="1:14" ht="30" outlineLevel="1" x14ac:dyDescent="0.15">
      <c r="B14" s="241" t="s">
        <v>21</v>
      </c>
      <c r="C14" s="241" t="s">
        <v>22</v>
      </c>
      <c r="D14" s="241" t="s">
        <v>23</v>
      </c>
      <c r="E14" s="242" t="s">
        <v>24</v>
      </c>
      <c r="F14" s="242" t="s">
        <v>25</v>
      </c>
      <c r="G14" s="242" t="s">
        <v>26</v>
      </c>
      <c r="H14" s="242" t="s">
        <v>27</v>
      </c>
      <c r="I14" s="243" t="s">
        <v>28</v>
      </c>
      <c r="J14" s="243" t="s">
        <v>29</v>
      </c>
      <c r="K14" s="287" t="s">
        <v>30</v>
      </c>
      <c r="L14" s="236"/>
    </row>
    <row r="15" spans="1:14" ht="15" x14ac:dyDescent="0.15">
      <c r="B15" s="269"/>
      <c r="C15" s="269" t="s">
        <v>31</v>
      </c>
      <c r="D15" s="269"/>
      <c r="E15" s="270" t="s">
        <v>32</v>
      </c>
      <c r="F15" s="270"/>
      <c r="G15" s="270" t="s">
        <v>32</v>
      </c>
      <c r="H15" s="270"/>
      <c r="I15" s="285"/>
      <c r="J15" s="285"/>
      <c r="K15" s="270" t="s">
        <v>30</v>
      </c>
    </row>
    <row r="16" spans="1:14" outlineLevel="1" x14ac:dyDescent="0.15">
      <c r="C16" s="239"/>
      <c r="D16" s="238"/>
      <c r="E16" s="241" t="s">
        <v>33</v>
      </c>
      <c r="F16" s="271"/>
      <c r="G16" s="300">
        <v>46148</v>
      </c>
      <c r="H16" s="300">
        <v>46280</v>
      </c>
      <c r="I16" s="472"/>
      <c r="J16" s="281"/>
      <c r="K16" s="288"/>
      <c r="L16" s="272"/>
      <c r="M16" s="272"/>
      <c r="N16" s="272"/>
    </row>
    <row r="17" spans="1:12" ht="30" hidden="1" x14ac:dyDescent="0.15">
      <c r="A17" s="236">
        <v>1</v>
      </c>
      <c r="B17" s="244" t="s">
        <v>34</v>
      </c>
      <c r="C17" s="245" t="s">
        <v>35</v>
      </c>
      <c r="D17" s="230"/>
      <c r="E17" s="230"/>
      <c r="F17" s="246"/>
      <c r="G17" s="206" t="s">
        <v>568</v>
      </c>
      <c r="H17" s="207"/>
      <c r="I17" s="473"/>
      <c r="J17" s="310"/>
      <c r="K17" s="289"/>
    </row>
    <row r="18" spans="1:12" hidden="1" x14ac:dyDescent="0.15">
      <c r="B18" s="247" t="s">
        <v>36</v>
      </c>
      <c r="C18" s="248"/>
      <c r="D18" s="232"/>
      <c r="E18" s="232"/>
      <c r="F18" s="244"/>
      <c r="G18" s="356"/>
      <c r="H18" s="356"/>
      <c r="I18" s="473"/>
      <c r="J18" s="310"/>
      <c r="K18" s="259"/>
      <c r="L18" s="236"/>
    </row>
    <row r="19" spans="1:12" ht="30" hidden="1" x14ac:dyDescent="0.15">
      <c r="A19" s="236">
        <v>2</v>
      </c>
      <c r="B19" s="244" t="s">
        <v>34</v>
      </c>
      <c r="C19" s="245" t="s">
        <v>37</v>
      </c>
      <c r="D19" s="230"/>
      <c r="E19" s="230"/>
      <c r="F19" s="246"/>
      <c r="G19" s="208"/>
      <c r="H19" s="207"/>
      <c r="I19" s="473"/>
      <c r="J19" s="310"/>
      <c r="K19" s="289"/>
    </row>
    <row r="20" spans="1:12" ht="61.25" hidden="1" customHeight="1" x14ac:dyDescent="0.15">
      <c r="B20" s="244"/>
      <c r="C20" s="249" t="s">
        <v>38</v>
      </c>
      <c r="D20" s="246"/>
      <c r="E20" s="246" t="s">
        <v>39</v>
      </c>
      <c r="F20" s="233"/>
      <c r="G20" s="357"/>
      <c r="H20" s="390"/>
      <c r="I20" s="473"/>
      <c r="J20" s="310" t="str">
        <f>IF(AND(H26="",H54=""),"",IF(G23="да",IF(H20&lt;='Экономический эффект'!F22,"","ОШИБКА: процент роста реализации ГП не должен превышать процент роста производства полуфабрикатов (расчет на листе Экономический эффект)"),IF('Чек-лист'!H20&lt;='Экономический эффект'!F51,"","ОШИБКА: процент роста реализации ГП/заказов не должен превышать процент роста выработки полуфабрикатов (расчет на листе Экономический эффект)")))</f>
        <v/>
      </c>
      <c r="K20" s="254" t="s">
        <v>40</v>
      </c>
      <c r="L20" s="236"/>
    </row>
    <row r="21" spans="1:12" ht="30" hidden="1" x14ac:dyDescent="0.15">
      <c r="B21" s="244"/>
      <c r="C21" s="249" t="s">
        <v>41</v>
      </c>
      <c r="D21" s="246"/>
      <c r="E21" s="246" t="s">
        <v>42</v>
      </c>
      <c r="F21" s="233"/>
      <c r="G21" s="228"/>
      <c r="H21" s="358"/>
      <c r="I21" s="473"/>
      <c r="J21" s="310"/>
      <c r="K21" s="254"/>
      <c r="L21" s="236"/>
    </row>
    <row r="22" spans="1:12" ht="27.5" hidden="1" customHeight="1" x14ac:dyDescent="0.15">
      <c r="B22" s="244"/>
      <c r="C22" s="249" t="s">
        <v>43</v>
      </c>
      <c r="D22" s="246"/>
      <c r="E22" s="246" t="s">
        <v>42</v>
      </c>
      <c r="F22" s="233"/>
      <c r="G22" s="228"/>
      <c r="H22" s="358"/>
      <c r="I22" s="473"/>
      <c r="J22" s="310" t="str">
        <f>IF(G23="","",IF(G23="да",IF(G22="","",IF(G22&gt;'Экономический эффект'!E24,"","ОШИБКА: переменные затраты на полуфабрикаты (расчет на листе Экономический эффект) не могут превышать переменные затраты на ГП")),IF(G22="","",IF(G22&gt;'Экономический эффект'!E52,"","ОШИБКА: переменные затраты на полуфабрикаты (расчет на листе Экономический эффект) не могут превышать переменные затраты на готовые заказы"))))</f>
        <v/>
      </c>
      <c r="K22" s="254"/>
      <c r="L22" s="236"/>
    </row>
    <row r="23" spans="1:12" ht="30" hidden="1" x14ac:dyDescent="0.15">
      <c r="A23" s="236">
        <v>3</v>
      </c>
      <c r="B23" s="244" t="s">
        <v>34</v>
      </c>
      <c r="C23" s="245" t="s">
        <v>44</v>
      </c>
      <c r="D23" s="230"/>
      <c r="E23" s="230"/>
      <c r="F23" s="244"/>
      <c r="G23" s="206"/>
      <c r="H23" s="207"/>
      <c r="I23" s="473"/>
      <c r="J23" s="310"/>
      <c r="K23" s="289" t="s">
        <v>45</v>
      </c>
    </row>
    <row r="24" spans="1:12" hidden="1" x14ac:dyDescent="0.15">
      <c r="B24" s="247" t="s">
        <v>46</v>
      </c>
      <c r="C24" s="248"/>
      <c r="D24" s="232"/>
      <c r="E24" s="232"/>
      <c r="F24" s="244"/>
      <c r="G24" s="356"/>
      <c r="H24" s="356"/>
      <c r="I24" s="473"/>
      <c r="J24" s="310"/>
      <c r="K24" s="259"/>
      <c r="L24" s="236"/>
    </row>
    <row r="25" spans="1:12" ht="15" hidden="1" x14ac:dyDescent="0.15">
      <c r="B25" s="244"/>
      <c r="C25" s="250" t="s">
        <v>47</v>
      </c>
      <c r="D25" s="244"/>
      <c r="E25" s="253"/>
      <c r="F25" s="255"/>
      <c r="G25" s="228"/>
      <c r="H25" s="359"/>
      <c r="I25" s="473"/>
      <c r="J25" s="310"/>
      <c r="K25" s="254"/>
      <c r="L25" s="236"/>
    </row>
    <row r="26" spans="1:12" ht="51.5" hidden="1" customHeight="1" x14ac:dyDescent="0.15">
      <c r="B26" s="251"/>
      <c r="C26" s="250" t="s">
        <v>48</v>
      </c>
      <c r="D26" s="244" t="s">
        <v>49</v>
      </c>
      <c r="E26" s="244" t="s">
        <v>50</v>
      </c>
      <c r="F26" s="233"/>
      <c r="G26" s="309"/>
      <c r="H26" s="309"/>
      <c r="I26" s="473"/>
      <c r="J26" s="310" t="str">
        <f>IFERROR(IF((((1/H26-1/G26)/(1/G26))&lt;H20),"ОШИБКА: рост объема реализации не может превышать рост возможностей производства полуфабритов. Уточните процент роста объема реализации",""),"")</f>
        <v/>
      </c>
      <c r="K26" s="259"/>
      <c r="L26" s="252"/>
    </row>
    <row r="27" spans="1:12" ht="15" hidden="1" x14ac:dyDescent="0.15">
      <c r="B27" s="253"/>
      <c r="C27" s="254" t="s">
        <v>51</v>
      </c>
      <c r="D27" s="244"/>
      <c r="E27" s="253" t="s">
        <v>52</v>
      </c>
      <c r="F27" s="255"/>
      <c r="G27" s="228"/>
      <c r="H27" s="359"/>
      <c r="I27" s="473"/>
      <c r="J27" s="310"/>
      <c r="K27" s="259" t="s">
        <v>53</v>
      </c>
      <c r="L27" s="252"/>
    </row>
    <row r="28" spans="1:12" ht="15" hidden="1" x14ac:dyDescent="0.15">
      <c r="A28" s="236">
        <v>4</v>
      </c>
      <c r="B28" s="244" t="s">
        <v>34</v>
      </c>
      <c r="C28" s="245" t="s">
        <v>54</v>
      </c>
      <c r="D28" s="230"/>
      <c r="E28" s="230"/>
      <c r="F28" s="244"/>
      <c r="G28" s="205"/>
      <c r="H28" s="207"/>
      <c r="I28" s="473"/>
      <c r="J28" s="310"/>
      <c r="K28" s="289"/>
    </row>
    <row r="29" spans="1:12" ht="15" hidden="1" x14ac:dyDescent="0.15">
      <c r="A29" s="236">
        <v>5</v>
      </c>
      <c r="B29" s="244" t="s">
        <v>34</v>
      </c>
      <c r="C29" s="245" t="s">
        <v>55</v>
      </c>
      <c r="D29" s="230"/>
      <c r="E29" s="230"/>
      <c r="F29" s="246"/>
      <c r="G29" s="206"/>
      <c r="H29" s="207"/>
      <c r="I29" s="473"/>
      <c r="J29" s="310"/>
      <c r="K29" s="289"/>
    </row>
    <row r="30" spans="1:12" ht="15" hidden="1" x14ac:dyDescent="0.15">
      <c r="A30" s="236">
        <v>6</v>
      </c>
      <c r="B30" s="400"/>
      <c r="C30" s="395" t="s">
        <v>56</v>
      </c>
      <c r="D30" s="230"/>
      <c r="E30" s="230"/>
      <c r="F30" s="246"/>
      <c r="G30" s="206"/>
      <c r="H30" s="207"/>
      <c r="I30" s="473"/>
      <c r="J30" s="310"/>
      <c r="K30" s="289"/>
    </row>
    <row r="31" spans="1:12" ht="75" hidden="1" x14ac:dyDescent="0.15">
      <c r="B31" s="244"/>
      <c r="C31" s="249" t="s">
        <v>57</v>
      </c>
      <c r="D31" s="246" t="s">
        <v>58</v>
      </c>
      <c r="E31" s="246" t="s">
        <v>59</v>
      </c>
      <c r="F31" s="233"/>
      <c r="G31" s="228"/>
      <c r="H31" s="228"/>
      <c r="I31" s="473"/>
      <c r="J31" s="310"/>
      <c r="K31" s="254" t="s">
        <v>60</v>
      </c>
      <c r="L31" s="236"/>
    </row>
    <row r="32" spans="1:12" ht="60" hidden="1" x14ac:dyDescent="0.15">
      <c r="B32" s="244"/>
      <c r="C32" s="249" t="s">
        <v>61</v>
      </c>
      <c r="D32" s="246" t="s">
        <v>62</v>
      </c>
      <c r="E32" s="246" t="s">
        <v>63</v>
      </c>
      <c r="F32" s="233"/>
      <c r="G32" s="228"/>
      <c r="H32" s="228"/>
      <c r="I32" s="473"/>
      <c r="J32" s="310"/>
      <c r="K32" s="254" t="s">
        <v>64</v>
      </c>
      <c r="L32" s="236"/>
    </row>
    <row r="33" spans="1:12" ht="15" hidden="1" x14ac:dyDescent="0.15">
      <c r="A33" s="236">
        <v>6</v>
      </c>
      <c r="B33" s="244" t="s">
        <v>34</v>
      </c>
      <c r="C33" s="245" t="s">
        <v>65</v>
      </c>
      <c r="D33" s="230"/>
      <c r="E33" s="230"/>
      <c r="F33" s="244"/>
      <c r="G33" s="206"/>
      <c r="H33" s="186"/>
      <c r="I33" s="473"/>
      <c r="J33" s="310"/>
      <c r="K33" s="326"/>
    </row>
    <row r="34" spans="1:12" ht="15" hidden="1" x14ac:dyDescent="0.15">
      <c r="A34" s="236">
        <v>7</v>
      </c>
      <c r="B34" s="256" t="s">
        <v>34</v>
      </c>
      <c r="C34" s="257" t="s">
        <v>66</v>
      </c>
      <c r="D34" s="230"/>
      <c r="E34" s="230"/>
      <c r="F34" s="244"/>
      <c r="G34" s="206"/>
      <c r="H34" s="186"/>
      <c r="I34" s="473"/>
      <c r="J34" s="310"/>
      <c r="K34" s="326"/>
    </row>
    <row r="35" spans="1:12" ht="75" hidden="1" x14ac:dyDescent="0.15">
      <c r="B35" s="258"/>
      <c r="C35" s="259" t="s">
        <v>67</v>
      </c>
      <c r="D35" s="244" t="s">
        <v>68</v>
      </c>
      <c r="E35" s="244" t="s">
        <v>69</v>
      </c>
      <c r="F35" s="233"/>
      <c r="G35" s="228"/>
      <c r="H35" s="228"/>
      <c r="I35" s="473"/>
      <c r="J35" s="310"/>
      <c r="K35" s="259" t="s">
        <v>70</v>
      </c>
      <c r="L35" s="252"/>
    </row>
    <row r="36" spans="1:12" ht="45" hidden="1" x14ac:dyDescent="0.15">
      <c r="B36" s="258"/>
      <c r="C36" s="259" t="s">
        <v>71</v>
      </c>
      <c r="D36" s="244" t="s">
        <v>72</v>
      </c>
      <c r="E36" s="244" t="s">
        <v>73</v>
      </c>
      <c r="F36" s="233"/>
      <c r="G36" s="228"/>
      <c r="H36" s="228"/>
      <c r="I36" s="473"/>
      <c r="J36" s="310"/>
      <c r="K36" s="259" t="s">
        <v>74</v>
      </c>
      <c r="L36" s="252"/>
    </row>
    <row r="37" spans="1:12" ht="30" hidden="1" x14ac:dyDescent="0.15">
      <c r="A37" s="236">
        <v>8</v>
      </c>
      <c r="B37" s="256" t="s">
        <v>34</v>
      </c>
      <c r="C37" s="257" t="s">
        <v>75</v>
      </c>
      <c r="D37" s="230"/>
      <c r="E37" s="230"/>
      <c r="F37" s="244"/>
      <c r="G37" s="206"/>
      <c r="H37" s="186"/>
      <c r="I37" s="473"/>
      <c r="J37" s="310"/>
      <c r="K37" s="326"/>
    </row>
    <row r="38" spans="1:12" ht="15" hidden="1" x14ac:dyDescent="0.15">
      <c r="A38" s="236">
        <v>9</v>
      </c>
      <c r="B38" s="256" t="s">
        <v>34</v>
      </c>
      <c r="C38" s="257" t="s">
        <v>76</v>
      </c>
      <c r="D38" s="230"/>
      <c r="E38" s="230"/>
      <c r="F38" s="244"/>
      <c r="G38" s="206"/>
      <c r="H38" s="186"/>
      <c r="I38" s="473"/>
      <c r="J38" s="310"/>
      <c r="K38" s="326"/>
    </row>
    <row r="39" spans="1:12" ht="15" hidden="1" x14ac:dyDescent="0.15">
      <c r="B39" s="258"/>
      <c r="C39" s="259" t="s">
        <v>77</v>
      </c>
      <c r="D39" s="244" t="s">
        <v>78</v>
      </c>
      <c r="E39" s="244" t="s">
        <v>79</v>
      </c>
      <c r="F39" s="233"/>
      <c r="G39" s="228"/>
      <c r="H39" s="228"/>
      <c r="I39" s="473"/>
      <c r="J39" s="310"/>
      <c r="K39" s="259"/>
      <c r="L39" s="252"/>
    </row>
    <row r="40" spans="1:12" ht="45" hidden="1" x14ac:dyDescent="0.15">
      <c r="B40" s="258"/>
      <c r="C40" s="259" t="s">
        <v>80</v>
      </c>
      <c r="D40" s="244" t="s">
        <v>81</v>
      </c>
      <c r="E40" s="244" t="s">
        <v>82</v>
      </c>
      <c r="F40" s="233"/>
      <c r="G40" s="228"/>
      <c r="H40" s="360"/>
      <c r="I40" s="473"/>
      <c r="J40" s="310"/>
      <c r="K40" s="259" t="s">
        <v>83</v>
      </c>
      <c r="L40" s="252"/>
    </row>
    <row r="41" spans="1:12" ht="15" hidden="1" x14ac:dyDescent="0.15">
      <c r="A41" s="236">
        <v>10</v>
      </c>
      <c r="B41" s="256" t="s">
        <v>34</v>
      </c>
      <c r="C41" s="257" t="s">
        <v>84</v>
      </c>
      <c r="D41" s="230"/>
      <c r="E41" s="230"/>
      <c r="F41" s="244"/>
      <c r="G41" s="206"/>
      <c r="H41" s="186"/>
      <c r="I41" s="473"/>
      <c r="J41" s="310"/>
      <c r="K41" s="326"/>
    </row>
    <row r="42" spans="1:12" ht="15" hidden="1" x14ac:dyDescent="0.15">
      <c r="B42" s="258"/>
      <c r="C42" s="259" t="s">
        <v>85</v>
      </c>
      <c r="D42" s="244" t="s">
        <v>78</v>
      </c>
      <c r="E42" s="244" t="s">
        <v>86</v>
      </c>
      <c r="F42" s="233"/>
      <c r="G42" s="228"/>
      <c r="H42" s="228"/>
      <c r="I42" s="473"/>
      <c r="J42" s="310"/>
      <c r="K42" s="259"/>
      <c r="L42" s="252"/>
    </row>
    <row r="43" spans="1:12" ht="45" hidden="1" x14ac:dyDescent="0.15">
      <c r="B43" s="258"/>
      <c r="C43" s="259" t="s">
        <v>87</v>
      </c>
      <c r="D43" s="244" t="s">
        <v>81</v>
      </c>
      <c r="E43" s="244" t="s">
        <v>88</v>
      </c>
      <c r="F43" s="233"/>
      <c r="G43" s="228"/>
      <c r="H43" s="360"/>
      <c r="I43" s="473"/>
      <c r="J43" s="310"/>
      <c r="K43" s="259" t="s">
        <v>83</v>
      </c>
      <c r="L43" s="252"/>
    </row>
    <row r="44" spans="1:12" ht="15" hidden="1" x14ac:dyDescent="0.15">
      <c r="A44" s="236">
        <v>11</v>
      </c>
      <c r="B44" s="256" t="s">
        <v>34</v>
      </c>
      <c r="C44" s="257" t="s">
        <v>642</v>
      </c>
      <c r="D44" s="230"/>
      <c r="E44" s="230"/>
      <c r="F44" s="244"/>
      <c r="G44" s="206"/>
      <c r="H44" s="186"/>
      <c r="I44" s="473"/>
      <c r="J44" s="310"/>
      <c r="K44" s="326"/>
    </row>
    <row r="45" spans="1:12" ht="15" hidden="1" x14ac:dyDescent="0.15">
      <c r="B45" s="258"/>
      <c r="C45" s="259" t="s">
        <v>674</v>
      </c>
      <c r="D45" s="244" t="s">
        <v>78</v>
      </c>
      <c r="E45" s="501"/>
      <c r="F45" s="233"/>
      <c r="G45" s="228"/>
      <c r="H45" s="228"/>
      <c r="I45" s="473"/>
      <c r="J45" s="310"/>
      <c r="K45" s="259"/>
      <c r="L45" s="252"/>
    </row>
    <row r="46" spans="1:12" ht="45" hidden="1" x14ac:dyDescent="0.15">
      <c r="B46" s="258"/>
      <c r="C46" s="259" t="s">
        <v>636</v>
      </c>
      <c r="D46" s="244" t="s">
        <v>81</v>
      </c>
      <c r="E46" s="244" t="str">
        <f>"руб./"&amp;E45</f>
        <v>руб./</v>
      </c>
      <c r="F46" s="233"/>
      <c r="G46" s="228"/>
      <c r="H46" s="360"/>
      <c r="I46" s="473"/>
      <c r="J46" s="310"/>
      <c r="K46" s="259" t="s">
        <v>83</v>
      </c>
      <c r="L46" s="252"/>
    </row>
    <row r="47" spans="1:12" ht="15" hidden="1" x14ac:dyDescent="0.15">
      <c r="A47" s="236">
        <v>12</v>
      </c>
      <c r="B47" s="256" t="s">
        <v>34</v>
      </c>
      <c r="C47" s="257" t="s">
        <v>89</v>
      </c>
      <c r="D47" s="230"/>
      <c r="E47" s="230"/>
      <c r="F47" s="244"/>
      <c r="G47" s="206"/>
      <c r="H47" s="186"/>
      <c r="I47" s="473"/>
      <c r="J47" s="310"/>
      <c r="K47" s="326"/>
    </row>
    <row r="48" spans="1:12" ht="15" hidden="1" x14ac:dyDescent="0.15">
      <c r="B48" s="258"/>
      <c r="C48" s="259" t="s">
        <v>90</v>
      </c>
      <c r="D48" s="244" t="s">
        <v>78</v>
      </c>
      <c r="E48" s="244" t="s">
        <v>91</v>
      </c>
      <c r="F48" s="233"/>
      <c r="G48" s="228"/>
      <c r="H48" s="228"/>
      <c r="I48" s="473"/>
      <c r="J48" s="310"/>
      <c r="K48" s="259"/>
      <c r="L48" s="252"/>
    </row>
    <row r="49" spans="1:12" ht="45" hidden="1" x14ac:dyDescent="0.15">
      <c r="B49" s="258"/>
      <c r="C49" s="259" t="s">
        <v>92</v>
      </c>
      <c r="D49" s="244" t="s">
        <v>81</v>
      </c>
      <c r="E49" s="244" t="s">
        <v>93</v>
      </c>
      <c r="F49" s="233"/>
      <c r="G49" s="228"/>
      <c r="H49" s="360"/>
      <c r="I49" s="473"/>
      <c r="J49" s="310"/>
      <c r="K49" s="259" t="s">
        <v>83</v>
      </c>
      <c r="L49" s="252"/>
    </row>
    <row r="50" spans="1:12" hidden="1" x14ac:dyDescent="0.15">
      <c r="B50" s="247" t="s">
        <v>94</v>
      </c>
      <c r="C50" s="248"/>
      <c r="D50" s="232"/>
      <c r="E50" s="232"/>
      <c r="F50" s="244"/>
      <c r="G50" s="356"/>
      <c r="H50" s="356"/>
      <c r="I50" s="473"/>
      <c r="J50" s="310"/>
      <c r="K50" s="259"/>
      <c r="L50" s="236"/>
    </row>
    <row r="51" spans="1:12" ht="15" hidden="1" x14ac:dyDescent="0.15">
      <c r="A51" s="236">
        <v>13</v>
      </c>
      <c r="B51" s="244" t="s">
        <v>34</v>
      </c>
      <c r="C51" s="245" t="s">
        <v>54</v>
      </c>
      <c r="D51" s="230"/>
      <c r="E51" s="230"/>
      <c r="F51" s="244"/>
      <c r="G51" s="205"/>
      <c r="H51" s="207"/>
      <c r="I51" s="473"/>
      <c r="J51" s="310"/>
      <c r="K51" s="289"/>
    </row>
    <row r="52" spans="1:12" ht="15" hidden="1" x14ac:dyDescent="0.15">
      <c r="A52" s="236">
        <v>14</v>
      </c>
      <c r="B52" s="244" t="s">
        <v>34</v>
      </c>
      <c r="C52" s="245" t="s">
        <v>55</v>
      </c>
      <c r="D52" s="230"/>
      <c r="E52" s="230"/>
      <c r="F52" s="246"/>
      <c r="G52" s="206"/>
      <c r="H52" s="207"/>
      <c r="I52" s="473"/>
      <c r="J52" s="310"/>
      <c r="K52" s="289"/>
    </row>
    <row r="53" spans="1:12" ht="15" hidden="1" x14ac:dyDescent="0.15">
      <c r="A53" s="236">
        <v>16</v>
      </c>
      <c r="B53" s="400"/>
      <c r="C53" s="395" t="s">
        <v>56</v>
      </c>
      <c r="D53" s="230"/>
      <c r="E53" s="230"/>
      <c r="F53" s="246"/>
      <c r="G53" s="206"/>
      <c r="H53" s="207"/>
      <c r="I53" s="473"/>
      <c r="J53" s="310"/>
      <c r="K53" s="289"/>
    </row>
    <row r="54" spans="1:12" ht="15" hidden="1" x14ac:dyDescent="0.15">
      <c r="B54" s="244"/>
      <c r="C54" s="249" t="s">
        <v>48</v>
      </c>
      <c r="D54" s="246"/>
      <c r="E54" s="246" t="s">
        <v>50</v>
      </c>
      <c r="F54" s="233"/>
      <c r="G54" s="228"/>
      <c r="H54" s="228"/>
      <c r="I54" s="473"/>
      <c r="J54" s="310"/>
      <c r="K54" s="254"/>
      <c r="L54" s="236"/>
    </row>
    <row r="55" spans="1:12" ht="75" hidden="1" x14ac:dyDescent="0.15">
      <c r="B55" s="244"/>
      <c r="C55" s="249" t="s">
        <v>57</v>
      </c>
      <c r="D55" s="246" t="s">
        <v>58</v>
      </c>
      <c r="E55" s="246" t="s">
        <v>59</v>
      </c>
      <c r="F55" s="233"/>
      <c r="G55" s="228"/>
      <c r="H55" s="228"/>
      <c r="I55" s="473"/>
      <c r="J55" s="310"/>
      <c r="K55" s="254" t="s">
        <v>95</v>
      </c>
      <c r="L55" s="236"/>
    </row>
    <row r="56" spans="1:12" ht="60" hidden="1" x14ac:dyDescent="0.15">
      <c r="B56" s="244"/>
      <c r="C56" s="249" t="s">
        <v>96</v>
      </c>
      <c r="D56" s="246" t="s">
        <v>62</v>
      </c>
      <c r="E56" s="246" t="s">
        <v>63</v>
      </c>
      <c r="F56" s="233"/>
      <c r="G56" s="228"/>
      <c r="H56" s="228"/>
      <c r="I56" s="473"/>
      <c r="J56" s="310"/>
      <c r="K56" s="254" t="s">
        <v>64</v>
      </c>
      <c r="L56" s="236"/>
    </row>
    <row r="57" spans="1:12" ht="30" hidden="1" x14ac:dyDescent="0.15">
      <c r="B57" s="244"/>
      <c r="C57" s="259" t="s">
        <v>97</v>
      </c>
      <c r="D57" s="246" t="s">
        <v>62</v>
      </c>
      <c r="E57" s="244" t="s">
        <v>42</v>
      </c>
      <c r="F57" s="233"/>
      <c r="G57" s="228"/>
      <c r="H57" s="357"/>
      <c r="I57" s="473"/>
      <c r="J57" s="310"/>
      <c r="K57" s="254"/>
      <c r="L57" s="236"/>
    </row>
    <row r="58" spans="1:12" ht="15" hidden="1" x14ac:dyDescent="0.15">
      <c r="A58" s="236">
        <v>15</v>
      </c>
      <c r="B58" s="244" t="s">
        <v>34</v>
      </c>
      <c r="C58" s="245" t="s">
        <v>65</v>
      </c>
      <c r="D58" s="230"/>
      <c r="E58" s="230"/>
      <c r="F58" s="244"/>
      <c r="G58" s="206"/>
      <c r="H58" s="186"/>
      <c r="I58" s="473"/>
      <c r="J58" s="310"/>
      <c r="K58" s="326"/>
    </row>
    <row r="59" spans="1:12" ht="15" hidden="1" x14ac:dyDescent="0.15">
      <c r="B59" s="258"/>
      <c r="C59" s="259" t="s">
        <v>98</v>
      </c>
      <c r="D59" s="244"/>
      <c r="E59" s="244" t="s">
        <v>99</v>
      </c>
      <c r="F59" s="233"/>
      <c r="G59" s="228"/>
      <c r="H59" s="228"/>
      <c r="I59" s="473"/>
      <c r="J59" s="310"/>
      <c r="K59" s="259" t="s">
        <v>100</v>
      </c>
      <c r="L59" s="236"/>
    </row>
    <row r="60" spans="1:12" ht="15" hidden="1" x14ac:dyDescent="0.15">
      <c r="A60" s="236">
        <v>16</v>
      </c>
      <c r="B60" s="244" t="s">
        <v>34</v>
      </c>
      <c r="C60" s="245" t="s">
        <v>101</v>
      </c>
      <c r="D60" s="230"/>
      <c r="E60" s="230"/>
      <c r="F60" s="244"/>
      <c r="G60" s="206"/>
      <c r="H60" s="186"/>
      <c r="I60" s="473"/>
      <c r="J60" s="310"/>
      <c r="K60" s="327"/>
    </row>
    <row r="61" spans="1:12" ht="30" hidden="1" x14ac:dyDescent="0.15">
      <c r="B61" s="258"/>
      <c r="C61" s="259" t="s">
        <v>102</v>
      </c>
      <c r="D61" s="244"/>
      <c r="E61" s="244" t="s">
        <v>42</v>
      </c>
      <c r="F61" s="233"/>
      <c r="G61" s="228"/>
      <c r="H61" s="360"/>
      <c r="I61" s="473"/>
      <c r="J61" s="310"/>
      <c r="K61" s="259" t="s">
        <v>103</v>
      </c>
      <c r="L61" s="236"/>
    </row>
    <row r="62" spans="1:12" ht="30" hidden="1" x14ac:dyDescent="0.15">
      <c r="A62" s="236">
        <v>17</v>
      </c>
      <c r="B62" s="256" t="s">
        <v>34</v>
      </c>
      <c r="C62" s="257" t="s">
        <v>75</v>
      </c>
      <c r="D62" s="230"/>
      <c r="E62" s="230"/>
      <c r="F62" s="244"/>
      <c r="G62" s="206"/>
      <c r="H62" s="186"/>
      <c r="I62" s="473"/>
      <c r="J62" s="310"/>
      <c r="K62" s="326"/>
    </row>
    <row r="63" spans="1:12" ht="15" hidden="1" x14ac:dyDescent="0.15">
      <c r="B63" s="258"/>
      <c r="C63" s="259" t="s">
        <v>104</v>
      </c>
      <c r="D63" s="244"/>
      <c r="E63" s="244" t="s">
        <v>99</v>
      </c>
      <c r="F63" s="233"/>
      <c r="G63" s="228"/>
      <c r="H63" s="228"/>
      <c r="I63" s="473"/>
      <c r="J63" s="310"/>
      <c r="K63" s="259" t="s">
        <v>100</v>
      </c>
      <c r="L63" s="236"/>
    </row>
    <row r="64" spans="1:12" ht="15" hidden="1" x14ac:dyDescent="0.15">
      <c r="A64" s="236">
        <v>18</v>
      </c>
      <c r="B64" s="244" t="s">
        <v>34</v>
      </c>
      <c r="C64" s="245" t="s">
        <v>105</v>
      </c>
      <c r="D64" s="230"/>
      <c r="E64" s="230"/>
      <c r="F64" s="244"/>
      <c r="G64" s="206"/>
      <c r="H64" s="186"/>
      <c r="I64" s="473"/>
      <c r="J64" s="310"/>
      <c r="K64" s="327"/>
    </row>
    <row r="65" spans="1:12" ht="30" hidden="1" x14ac:dyDescent="0.15">
      <c r="B65" s="244"/>
      <c r="C65" s="259" t="s">
        <v>106</v>
      </c>
      <c r="D65" s="246"/>
      <c r="E65" s="246" t="s">
        <v>42</v>
      </c>
      <c r="F65" s="233"/>
      <c r="G65" s="228"/>
      <c r="H65" s="357"/>
      <c r="I65" s="473"/>
      <c r="J65" s="310"/>
      <c r="K65" s="254" t="s">
        <v>103</v>
      </c>
      <c r="L65" s="236"/>
    </row>
    <row r="66" spans="1:12" hidden="1" x14ac:dyDescent="0.15">
      <c r="B66" s="247" t="s">
        <v>107</v>
      </c>
      <c r="C66" s="248"/>
      <c r="D66" s="232"/>
      <c r="E66" s="232"/>
      <c r="F66" s="244"/>
      <c r="G66" s="356"/>
      <c r="H66" s="356"/>
      <c r="I66" s="473"/>
      <c r="J66" s="310"/>
      <c r="K66" s="259"/>
      <c r="L66" s="236"/>
    </row>
    <row r="67" spans="1:12" ht="30" hidden="1" x14ac:dyDescent="0.15">
      <c r="A67" s="236">
        <v>19</v>
      </c>
      <c r="B67" s="244" t="s">
        <v>34</v>
      </c>
      <c r="C67" s="245" t="s">
        <v>108</v>
      </c>
      <c r="D67" s="230"/>
      <c r="E67" s="230"/>
      <c r="F67" s="244"/>
      <c r="G67" s="206" t="s">
        <v>568</v>
      </c>
      <c r="H67" s="189"/>
      <c r="I67" s="473"/>
      <c r="J67" s="310"/>
      <c r="K67" s="326" t="s">
        <v>45</v>
      </c>
    </row>
    <row r="68" spans="1:12" hidden="1" x14ac:dyDescent="0.15">
      <c r="B68" s="247" t="s">
        <v>109</v>
      </c>
      <c r="C68" s="248"/>
      <c r="D68" s="232"/>
      <c r="E68" s="232"/>
      <c r="F68" s="244"/>
      <c r="G68" s="356"/>
      <c r="H68" s="356"/>
      <c r="I68" s="473"/>
      <c r="J68" s="310"/>
      <c r="K68" s="259"/>
      <c r="L68" s="236"/>
    </row>
    <row r="69" spans="1:12" ht="30" hidden="1" x14ac:dyDescent="0.15">
      <c r="A69" s="236">
        <v>20</v>
      </c>
      <c r="B69" s="244" t="s">
        <v>34</v>
      </c>
      <c r="C69" s="245" t="s">
        <v>110</v>
      </c>
      <c r="D69" s="230"/>
      <c r="E69" s="230"/>
      <c r="F69" s="244"/>
      <c r="G69" s="206" t="s">
        <v>568</v>
      </c>
      <c r="H69" s="189"/>
      <c r="I69" s="473"/>
      <c r="J69" s="310"/>
      <c r="K69" s="326"/>
    </row>
    <row r="70" spans="1:12" ht="27.5" hidden="1" customHeight="1" x14ac:dyDescent="0.15">
      <c r="A70" s="236">
        <v>21</v>
      </c>
      <c r="B70" s="246" t="s">
        <v>34</v>
      </c>
      <c r="C70" s="245" t="s">
        <v>111</v>
      </c>
      <c r="D70" s="230"/>
      <c r="E70" s="230"/>
      <c r="F70" s="244"/>
      <c r="G70" s="206" t="s">
        <v>571</v>
      </c>
      <c r="H70" s="209"/>
      <c r="I70" s="473"/>
      <c r="J70" s="310"/>
      <c r="K70" s="326" t="s">
        <v>112</v>
      </c>
    </row>
    <row r="71" spans="1:12" ht="15.5" hidden="1" customHeight="1" x14ac:dyDescent="0.15">
      <c r="A71" s="393"/>
      <c r="B71" s="394"/>
      <c r="C71" s="395" t="s">
        <v>113</v>
      </c>
      <c r="D71" s="230"/>
      <c r="E71" s="230"/>
      <c r="F71" s="244"/>
      <c r="G71" s="396"/>
      <c r="H71" s="209"/>
      <c r="I71" s="473"/>
      <c r="J71" s="310"/>
      <c r="K71" s="397"/>
    </row>
    <row r="72" spans="1:12" ht="30" hidden="1" x14ac:dyDescent="0.15">
      <c r="B72" s="253"/>
      <c r="C72" s="250" t="s">
        <v>114</v>
      </c>
      <c r="D72" s="244" t="s">
        <v>115</v>
      </c>
      <c r="E72" s="244" t="s">
        <v>39</v>
      </c>
      <c r="F72" s="233"/>
      <c r="G72" s="361"/>
      <c r="H72" s="361"/>
      <c r="I72" s="473"/>
      <c r="J72" s="310"/>
      <c r="K72" s="259" t="s">
        <v>116</v>
      </c>
      <c r="L72" s="252"/>
    </row>
    <row r="73" spans="1:12" ht="15" x14ac:dyDescent="0.15">
      <c r="B73" s="253"/>
      <c r="C73" s="250" t="s">
        <v>117</v>
      </c>
      <c r="D73" s="244"/>
      <c r="E73" s="320" t="s">
        <v>699</v>
      </c>
      <c r="F73" s="255"/>
      <c r="G73" s="357"/>
      <c r="H73" s="359"/>
      <c r="I73" s="473"/>
      <c r="J73" s="310"/>
      <c r="K73" s="259" t="s">
        <v>118</v>
      </c>
      <c r="L73" s="252"/>
    </row>
    <row r="74" spans="1:12" ht="59.5" customHeight="1" x14ac:dyDescent="0.15">
      <c r="B74" s="251"/>
      <c r="C74" s="250" t="s">
        <v>48</v>
      </c>
      <c r="D74" s="244" t="s">
        <v>49</v>
      </c>
      <c r="E74" s="244" t="s">
        <v>50</v>
      </c>
      <c r="F74" s="233"/>
      <c r="G74" s="309">
        <v>0.25666666666659999</v>
      </c>
      <c r="H74" s="309">
        <v>0.21666666666660001</v>
      </c>
      <c r="I74" s="473"/>
      <c r="J74" s="310" t="str">
        <f>IF(AND(G69="нет",G74&gt;G75),"ОШИБКА: если спрос меньше возможностей производства, время цикла узкого места должно быть меньше времени такта","")</f>
        <v/>
      </c>
      <c r="K74" s="259"/>
      <c r="L74" s="252"/>
    </row>
    <row r="75" spans="1:12" ht="30" x14ac:dyDescent="0.15">
      <c r="B75" s="251"/>
      <c r="C75" s="250" t="s">
        <v>119</v>
      </c>
      <c r="D75" s="244" t="s">
        <v>120</v>
      </c>
      <c r="E75" s="244" t="s">
        <v>50</v>
      </c>
      <c r="F75" s="233"/>
      <c r="G75" s="309">
        <v>0.22666666666659999</v>
      </c>
      <c r="H75" s="309">
        <v>0.22666666666659999</v>
      </c>
      <c r="I75" s="473"/>
      <c r="J75" s="310" t="str">
        <f>IF(AND(G69="да",G74&lt;G75),"ОШИБКА: если спрос больше возможностей производства, время цикла узкого места должно быть больше времени такта","")</f>
        <v/>
      </c>
      <c r="K75" s="259" t="s">
        <v>121</v>
      </c>
      <c r="L75" s="252"/>
    </row>
    <row r="76" spans="1:12" ht="30" hidden="1" x14ac:dyDescent="0.15">
      <c r="A76" s="236">
        <v>24</v>
      </c>
      <c r="B76" s="400"/>
      <c r="C76" s="395" t="s">
        <v>122</v>
      </c>
      <c r="D76" s="230"/>
      <c r="E76" s="230" t="s">
        <v>50</v>
      </c>
      <c r="F76" s="244"/>
      <c r="G76" s="399"/>
      <c r="H76" s="186"/>
      <c r="I76" s="473"/>
      <c r="J76" s="310"/>
      <c r="K76" s="397" t="s">
        <v>123</v>
      </c>
    </row>
    <row r="77" spans="1:12" ht="60" x14ac:dyDescent="0.15">
      <c r="B77" s="251"/>
      <c r="C77" s="250" t="s">
        <v>124</v>
      </c>
      <c r="D77" s="244"/>
      <c r="E77" s="244" t="s">
        <v>50</v>
      </c>
      <c r="F77" s="233"/>
      <c r="G77" s="309">
        <f>G85*G74</f>
        <v>33904.330011728285</v>
      </c>
      <c r="H77" s="309">
        <f>G77</f>
        <v>33904.330011728285</v>
      </c>
      <c r="I77" s="473" t="s">
        <v>703</v>
      </c>
      <c r="J77" s="310"/>
      <c r="K77" s="259" t="s">
        <v>125</v>
      </c>
      <c r="L77" s="252"/>
    </row>
    <row r="78" spans="1:12" ht="15" hidden="1" x14ac:dyDescent="0.15">
      <c r="B78" s="251"/>
      <c r="C78" s="250" t="s">
        <v>126</v>
      </c>
      <c r="D78" s="244" t="s">
        <v>127</v>
      </c>
      <c r="E78" s="244" t="s">
        <v>128</v>
      </c>
      <c r="F78" s="233"/>
      <c r="G78" s="228"/>
      <c r="H78" s="228"/>
      <c r="I78" s="473"/>
      <c r="J78" s="310"/>
      <c r="K78" s="259"/>
      <c r="L78" s="252"/>
    </row>
    <row r="79" spans="1:12" ht="15" hidden="1" x14ac:dyDescent="0.15">
      <c r="B79" s="251"/>
      <c r="C79" s="250" t="s">
        <v>129</v>
      </c>
      <c r="D79" s="244" t="s">
        <v>130</v>
      </c>
      <c r="E79" s="244" t="s">
        <v>131</v>
      </c>
      <c r="F79" s="233"/>
      <c r="G79" s="228"/>
      <c r="H79" s="228"/>
      <c r="I79" s="473"/>
      <c r="J79" s="310"/>
      <c r="K79" s="259"/>
      <c r="L79" s="252"/>
    </row>
    <row r="80" spans="1:12" ht="15" hidden="1" x14ac:dyDescent="0.15">
      <c r="B80" s="251"/>
      <c r="C80" s="250" t="s">
        <v>132</v>
      </c>
      <c r="D80" s="244" t="s">
        <v>133</v>
      </c>
      <c r="E80" s="328" t="s">
        <v>134</v>
      </c>
      <c r="F80" s="260"/>
      <c r="G80" s="228"/>
      <c r="H80" s="228"/>
      <c r="I80" s="473"/>
      <c r="J80" s="310"/>
      <c r="K80" s="259"/>
      <c r="L80" s="252"/>
    </row>
    <row r="81" spans="1:12" ht="15" hidden="1" x14ac:dyDescent="0.15">
      <c r="B81" s="251"/>
      <c r="C81" s="191" t="s">
        <v>135</v>
      </c>
      <c r="D81" s="190">
        <f>IF(G77="",G78*G79*G80*60,G77)*IF(G72="",1,G72)</f>
        <v>33904.330011728285</v>
      </c>
      <c r="E81" s="190">
        <f>IF(H77="",H78*H79*H80*60,H77)*IF(H72="",1,H72)</f>
        <v>33904.330011728285</v>
      </c>
      <c r="F81" s="203"/>
      <c r="G81" s="362"/>
      <c r="H81" s="362"/>
      <c r="I81" s="473"/>
      <c r="J81" s="310"/>
      <c r="K81" s="259"/>
      <c r="L81" s="252"/>
    </row>
    <row r="82" spans="1:12" ht="15" hidden="1" x14ac:dyDescent="0.15">
      <c r="B82" s="251"/>
      <c r="C82" s="191" t="s">
        <v>136</v>
      </c>
      <c r="D82" s="277">
        <f>IFERROR(IF(G75&lt;G74,D81/G74,D81/G75),0)</f>
        <v>132094.79225352115</v>
      </c>
      <c r="E82" s="329">
        <f>IFERROR(IF(H75&lt;H74,E81/H74,E81/H75),0)</f>
        <v>149577.92652237468</v>
      </c>
      <c r="F82" s="204"/>
      <c r="G82" s="362"/>
      <c r="H82" s="362"/>
      <c r="I82" s="473"/>
      <c r="J82" s="310"/>
      <c r="K82" s="259"/>
      <c r="L82" s="252"/>
    </row>
    <row r="83" spans="1:12" ht="15" hidden="1" x14ac:dyDescent="0.15">
      <c r="B83" s="251"/>
      <c r="C83" s="191" t="s">
        <v>137</v>
      </c>
      <c r="D83" s="277">
        <f>IFERROR(D81/G74,0)</f>
        <v>132094.79225352115</v>
      </c>
      <c r="E83" s="329">
        <f>IFERROR(E81/H74,0)</f>
        <v>156481.52313110177</v>
      </c>
      <c r="F83" s="204"/>
      <c r="G83" s="362"/>
      <c r="H83" s="362"/>
      <c r="I83" s="473"/>
      <c r="J83" s="310"/>
      <c r="K83" s="259"/>
      <c r="L83" s="252"/>
    </row>
    <row r="84" spans="1:12" ht="112.5" customHeight="1" x14ac:dyDescent="0.15">
      <c r="B84" s="253"/>
      <c r="C84" s="250" t="s">
        <v>138</v>
      </c>
      <c r="D84" s="244"/>
      <c r="E84" s="253" t="str">
        <f>IF(E73="","",E73)</f>
        <v>коробка</v>
      </c>
      <c r="F84" s="255"/>
      <c r="G84" s="228">
        <f>(375149.21/0.071)/40</f>
        <v>132094.79225352115</v>
      </c>
      <c r="H84" s="359">
        <f>H77/H74</f>
        <v>156481.52313110177</v>
      </c>
      <c r="I84" s="473">
        <f>G77/G84</f>
        <v>0.25666666666659999</v>
      </c>
      <c r="J84" s="310" t="str">
        <f>IF(G84="","",IFERROR(IF(OR((G84/D82-1)&gt;0.1,(G84/D82-1)&lt;-0.1),"ВНИМАНИЕ: расчетный объем реализации "&amp;TEXT('Экономический эффект'!E72,"# ##0")&amp;" отличается от указанного объёма реализации, необходимо проверить фактическое время производства годной продукции (строка 77) или время цикла узкого места (строка 74)",""),""))</f>
        <v/>
      </c>
      <c r="K84" s="259"/>
      <c r="L84" s="252"/>
    </row>
    <row r="85" spans="1:12" ht="15" x14ac:dyDescent="0.15">
      <c r="B85" s="253"/>
      <c r="C85" s="250" t="s">
        <v>139</v>
      </c>
      <c r="D85" s="244"/>
      <c r="E85" s="253" t="str">
        <f>IF(E73="","",E73)</f>
        <v>коробка</v>
      </c>
      <c r="F85" s="255"/>
      <c r="G85" s="228">
        <f>(375149.21/0.071)/40</f>
        <v>132094.79225352115</v>
      </c>
      <c r="H85" s="359">
        <f>H77/H75</f>
        <v>149577.92652237468</v>
      </c>
      <c r="I85" s="473">
        <f>120*18</f>
        <v>2160</v>
      </c>
      <c r="J85" s="310"/>
      <c r="K85" s="259" t="s">
        <v>53</v>
      </c>
      <c r="L85" s="252"/>
    </row>
    <row r="86" spans="1:12" hidden="1" x14ac:dyDescent="0.15">
      <c r="B86" s="247" t="s">
        <v>140</v>
      </c>
      <c r="C86" s="248"/>
      <c r="D86" s="232"/>
      <c r="E86" s="232"/>
      <c r="F86" s="244"/>
      <c r="G86" s="363"/>
      <c r="H86" s="363"/>
      <c r="I86" s="473"/>
      <c r="J86" s="310"/>
      <c r="K86" s="259"/>
      <c r="L86" s="236"/>
    </row>
    <row r="87" spans="1:12" ht="44.5" customHeight="1" x14ac:dyDescent="0.15">
      <c r="B87" s="251"/>
      <c r="C87" s="250" t="s">
        <v>141</v>
      </c>
      <c r="D87" s="244" t="s">
        <v>142</v>
      </c>
      <c r="E87" s="244" t="str">
        <f>"руб./"&amp;E73</f>
        <v>руб./коробка</v>
      </c>
      <c r="F87" s="233"/>
      <c r="G87" s="228">
        <f>(98983592.56/(375149.21/0.071))*40</f>
        <v>749.33758455842121</v>
      </c>
      <c r="H87" s="228"/>
      <c r="I87" s="473">
        <f>75343/60/12</f>
        <v>104.64305555555556</v>
      </c>
      <c r="J87" s="310"/>
      <c r="K87" s="259" t="str">
        <f>IF(G70="да","Нужно отразить среднюю цену на единицу продукции с учетом изменения качества или сортности ","Для исключения ценового фактора эк.эффекты рассчитываем в ценах до проекта. Цена после не требуется. В расчетах не участвует.")</f>
        <v>Для исключения ценового фактора эк.эффекты рассчитываем в ценах до проекта. Цена после не требуется. В расчетах не участвует.</v>
      </c>
      <c r="L87" s="252"/>
    </row>
    <row r="88" spans="1:12" ht="51.5" customHeight="1" x14ac:dyDescent="0.15">
      <c r="B88" s="251"/>
      <c r="C88" s="250" t="s">
        <v>143</v>
      </c>
      <c r="D88" s="244"/>
      <c r="E88" s="244" t="str">
        <f>"руб./"&amp;E73</f>
        <v>руб./коробка</v>
      </c>
      <c r="F88" s="233"/>
      <c r="G88" s="228">
        <f>(68356153.1/5280430)*40</f>
        <v>517.80747477004707</v>
      </c>
      <c r="H88" s="360">
        <f>(68356153.1/5280430)*40</f>
        <v>517.80747477004707</v>
      </c>
      <c r="I88" s="473">
        <f>0.072*40</f>
        <v>2.88</v>
      </c>
      <c r="J88" s="310" t="str">
        <f>IF(('Экономический эффект'!E80+'Экономический эффект'!E83+'Экономический эффект'!E87)&gt;G88,"ОШИБКА: переменная с/с на единицу продукции меньше суммы ее составляющих (сырье, э/э, ФОТ). Проверьте нормы, цены, с/с","")</f>
        <v/>
      </c>
      <c r="K88" s="259"/>
      <c r="L88" s="252"/>
    </row>
    <row r="89" spans="1:12" ht="15" hidden="1" x14ac:dyDescent="0.15">
      <c r="A89" s="236">
        <v>22</v>
      </c>
      <c r="B89" s="244" t="s">
        <v>34</v>
      </c>
      <c r="C89" s="245" t="s">
        <v>65</v>
      </c>
      <c r="D89" s="230"/>
      <c r="E89" s="230"/>
      <c r="F89" s="244"/>
      <c r="G89" s="187" t="s">
        <v>571</v>
      </c>
      <c r="H89" s="186"/>
      <c r="I89" s="473"/>
      <c r="J89" s="310"/>
      <c r="K89" s="326"/>
    </row>
    <row r="90" spans="1:12" ht="15" hidden="1" x14ac:dyDescent="0.15">
      <c r="A90" s="236">
        <v>23</v>
      </c>
      <c r="B90" s="256" t="s">
        <v>34</v>
      </c>
      <c r="C90" s="257" t="s">
        <v>66</v>
      </c>
      <c r="D90" s="230"/>
      <c r="E90" s="230"/>
      <c r="F90" s="244"/>
      <c r="G90" s="187"/>
      <c r="H90" s="186"/>
      <c r="I90" s="473"/>
      <c r="J90" s="310"/>
      <c r="K90" s="326"/>
    </row>
    <row r="91" spans="1:12" ht="75" hidden="1" x14ac:dyDescent="0.15">
      <c r="B91" s="258"/>
      <c r="C91" s="259" t="s">
        <v>144</v>
      </c>
      <c r="D91" s="244" t="s">
        <v>68</v>
      </c>
      <c r="E91" s="244" t="s">
        <v>69</v>
      </c>
      <c r="F91" s="233"/>
      <c r="G91" s="229"/>
      <c r="H91" s="229"/>
      <c r="I91" s="473"/>
      <c r="J91" s="310" t="str">
        <f>IF(G91*G92&gt;G88,"ОШИБКА: затраты на сырье больше общей переменной себестоимости. Проверьте нормы, цены, с/с","")</f>
        <v/>
      </c>
      <c r="K91" s="259" t="s">
        <v>145</v>
      </c>
      <c r="L91" s="252"/>
    </row>
    <row r="92" spans="1:12" ht="45" hidden="1" x14ac:dyDescent="0.15">
      <c r="B92" s="258"/>
      <c r="C92" s="259" t="s">
        <v>71</v>
      </c>
      <c r="D92" s="244" t="s">
        <v>72</v>
      </c>
      <c r="E92" s="244" t="s">
        <v>73</v>
      </c>
      <c r="F92" s="233"/>
      <c r="G92" s="228"/>
      <c r="H92" s="228"/>
      <c r="I92" s="473"/>
      <c r="J92" s="310"/>
      <c r="K92" s="259" t="s">
        <v>146</v>
      </c>
      <c r="L92" s="252"/>
    </row>
    <row r="93" spans="1:12" ht="30" hidden="1" x14ac:dyDescent="0.15">
      <c r="A93" s="236">
        <v>24</v>
      </c>
      <c r="B93" s="256" t="s">
        <v>34</v>
      </c>
      <c r="C93" s="257" t="s">
        <v>75</v>
      </c>
      <c r="D93" s="230"/>
      <c r="E93" s="230"/>
      <c r="F93" s="244"/>
      <c r="G93" s="206" t="s">
        <v>571</v>
      </c>
      <c r="H93" s="186"/>
      <c r="I93" s="473"/>
      <c r="J93" s="310"/>
      <c r="K93" s="326"/>
    </row>
    <row r="94" spans="1:12" ht="15" hidden="1" x14ac:dyDescent="0.15">
      <c r="A94" s="236">
        <v>25</v>
      </c>
      <c r="B94" s="256" t="s">
        <v>34</v>
      </c>
      <c r="C94" s="257" t="s">
        <v>76</v>
      </c>
      <c r="D94" s="230"/>
      <c r="E94" s="230"/>
      <c r="F94" s="244"/>
      <c r="G94" s="206"/>
      <c r="H94" s="186"/>
      <c r="I94" s="473"/>
      <c r="J94" s="310"/>
      <c r="K94" s="326"/>
    </row>
    <row r="95" spans="1:12" ht="36.5" hidden="1" customHeight="1" x14ac:dyDescent="0.15">
      <c r="B95" s="258"/>
      <c r="C95" s="259" t="s">
        <v>147</v>
      </c>
      <c r="D95" s="244" t="s">
        <v>78</v>
      </c>
      <c r="E95" s="244" t="s">
        <v>79</v>
      </c>
      <c r="F95" s="233"/>
      <c r="G95" s="229"/>
      <c r="H95" s="229"/>
      <c r="I95" s="473"/>
      <c r="J95" s="310" t="str">
        <f>IF(G95*G96&gt;G88,"ОШИБКА: затраты на э/э больше общей переменной себестоимости. Проверьте нормы, цены, с/с","")</f>
        <v/>
      </c>
      <c r="K95" s="259"/>
      <c r="L95" s="252"/>
    </row>
    <row r="96" spans="1:12" ht="45" hidden="1" x14ac:dyDescent="0.15">
      <c r="B96" s="258"/>
      <c r="C96" s="259" t="s">
        <v>80</v>
      </c>
      <c r="D96" s="244" t="s">
        <v>81</v>
      </c>
      <c r="E96" s="244" t="s">
        <v>82</v>
      </c>
      <c r="F96" s="233"/>
      <c r="G96" s="228"/>
      <c r="H96" s="360"/>
      <c r="I96" s="473"/>
      <c r="J96" s="310"/>
      <c r="K96" s="259" t="s">
        <v>83</v>
      </c>
      <c r="L96" s="252"/>
    </row>
    <row r="97" spans="1:12" ht="15" hidden="1" x14ac:dyDescent="0.15">
      <c r="A97" s="236">
        <v>26</v>
      </c>
      <c r="B97" s="256" t="s">
        <v>34</v>
      </c>
      <c r="C97" s="257" t="s">
        <v>84</v>
      </c>
      <c r="D97" s="230"/>
      <c r="E97" s="230"/>
      <c r="F97" s="244"/>
      <c r="G97" s="206"/>
      <c r="H97" s="186"/>
      <c r="I97" s="473"/>
      <c r="J97" s="310"/>
      <c r="K97" s="326"/>
    </row>
    <row r="98" spans="1:12" ht="33.5" hidden="1" customHeight="1" x14ac:dyDescent="0.15">
      <c r="B98" s="258"/>
      <c r="C98" s="259" t="s">
        <v>148</v>
      </c>
      <c r="D98" s="244" t="s">
        <v>78</v>
      </c>
      <c r="E98" s="244" t="s">
        <v>86</v>
      </c>
      <c r="F98" s="233"/>
      <c r="G98" s="229"/>
      <c r="H98" s="229"/>
      <c r="I98" s="473"/>
      <c r="J98" s="310" t="str">
        <f>IF(G98*G99&gt;G88,"ОШИБКА: затраты на воду больше общей переменной себестоимости. Проверьте нормы, цены, с/с","")</f>
        <v/>
      </c>
      <c r="K98" s="259"/>
      <c r="L98" s="252"/>
    </row>
    <row r="99" spans="1:12" ht="45" hidden="1" x14ac:dyDescent="0.15">
      <c r="B99" s="258"/>
      <c r="C99" s="259" t="s">
        <v>87</v>
      </c>
      <c r="D99" s="244" t="s">
        <v>81</v>
      </c>
      <c r="E99" s="244" t="s">
        <v>88</v>
      </c>
      <c r="F99" s="233"/>
      <c r="G99" s="228"/>
      <c r="H99" s="360"/>
      <c r="I99" s="473"/>
      <c r="J99" s="310"/>
      <c r="K99" s="259" t="s">
        <v>83</v>
      </c>
      <c r="L99" s="252"/>
    </row>
    <row r="100" spans="1:12" ht="15" hidden="1" x14ac:dyDescent="0.15">
      <c r="A100" s="236">
        <v>27</v>
      </c>
      <c r="B100" s="256" t="s">
        <v>34</v>
      </c>
      <c r="C100" s="257" t="s">
        <v>642</v>
      </c>
      <c r="D100" s="230"/>
      <c r="E100" s="230"/>
      <c r="F100" s="244"/>
      <c r="G100" s="206"/>
      <c r="H100" s="186"/>
      <c r="I100" s="473"/>
      <c r="J100" s="310"/>
      <c r="K100" s="326"/>
    </row>
    <row r="101" spans="1:12" ht="42.5" hidden="1" customHeight="1" x14ac:dyDescent="0.15">
      <c r="B101" s="258"/>
      <c r="C101" s="259" t="s">
        <v>643</v>
      </c>
      <c r="D101" s="244" t="s">
        <v>78</v>
      </c>
      <c r="E101" s="489"/>
      <c r="F101" s="233"/>
      <c r="G101" s="229"/>
      <c r="H101" s="229"/>
      <c r="I101" s="473"/>
      <c r="J101" s="310" t="str">
        <f>IF(G101*G102&gt;G88,"ОШИБКА: затраты на газ больше общей переменной себестоимости. Проверьте нормы, цены, с/с","")</f>
        <v/>
      </c>
      <c r="K101" s="259"/>
      <c r="L101" s="252"/>
    </row>
    <row r="102" spans="1:12" ht="45" hidden="1" x14ac:dyDescent="0.15">
      <c r="B102" s="258"/>
      <c r="C102" s="259" t="s">
        <v>636</v>
      </c>
      <c r="D102" s="244" t="s">
        <v>81</v>
      </c>
      <c r="E102" s="244" t="str">
        <f>"руб./"&amp;E101</f>
        <v>руб./</v>
      </c>
      <c r="F102" s="233"/>
      <c r="G102" s="228"/>
      <c r="H102" s="360"/>
      <c r="I102" s="473"/>
      <c r="J102" s="310"/>
      <c r="K102" s="259" t="s">
        <v>83</v>
      </c>
      <c r="L102" s="252"/>
    </row>
    <row r="103" spans="1:12" ht="15" hidden="1" x14ac:dyDescent="0.15">
      <c r="A103" s="236">
        <v>28</v>
      </c>
      <c r="B103" s="256" t="s">
        <v>34</v>
      </c>
      <c r="C103" s="257" t="s">
        <v>89</v>
      </c>
      <c r="D103" s="230"/>
      <c r="E103" s="230"/>
      <c r="F103" s="244"/>
      <c r="G103" s="206"/>
      <c r="H103" s="186"/>
      <c r="I103" s="473"/>
      <c r="J103" s="310"/>
      <c r="K103" s="326"/>
    </row>
    <row r="104" spans="1:12" ht="38.5" hidden="1" customHeight="1" x14ac:dyDescent="0.15">
      <c r="B104" s="258"/>
      <c r="C104" s="259" t="s">
        <v>149</v>
      </c>
      <c r="D104" s="244" t="s">
        <v>78</v>
      </c>
      <c r="E104" s="244" t="s">
        <v>91</v>
      </c>
      <c r="F104" s="233"/>
      <c r="G104" s="229"/>
      <c r="H104" s="229"/>
      <c r="I104" s="473"/>
      <c r="J104" s="310" t="str">
        <f>IF(G104*G105&gt;G88,"ОШИБКА: затраты на тепло больше общей переменной себестоимости. Проверьте нормы, цены, с/с","")</f>
        <v/>
      </c>
      <c r="K104" s="259"/>
      <c r="L104" s="252"/>
    </row>
    <row r="105" spans="1:12" ht="45" hidden="1" x14ac:dyDescent="0.15">
      <c r="B105" s="258"/>
      <c r="C105" s="259" t="s">
        <v>92</v>
      </c>
      <c r="D105" s="244" t="s">
        <v>81</v>
      </c>
      <c r="E105" s="244" t="s">
        <v>93</v>
      </c>
      <c r="F105" s="233"/>
      <c r="G105" s="228"/>
      <c r="H105" s="360"/>
      <c r="I105" s="473"/>
      <c r="J105" s="310"/>
      <c r="K105" s="259" t="s">
        <v>83</v>
      </c>
      <c r="L105" s="252"/>
    </row>
    <row r="106" spans="1:12" ht="15" hidden="1" x14ac:dyDescent="0.15">
      <c r="A106" s="236">
        <v>29</v>
      </c>
      <c r="B106" s="244" t="s">
        <v>34</v>
      </c>
      <c r="C106" s="245" t="s">
        <v>54</v>
      </c>
      <c r="D106" s="230"/>
      <c r="E106" s="230"/>
      <c r="F106" s="244"/>
      <c r="G106" s="205" t="s">
        <v>571</v>
      </c>
      <c r="H106" s="207"/>
      <c r="I106" s="473"/>
      <c r="J106" s="310"/>
      <c r="K106" s="289"/>
    </row>
    <row r="107" spans="1:12" ht="15" hidden="1" x14ac:dyDescent="0.15">
      <c r="A107" s="236">
        <v>30</v>
      </c>
      <c r="B107" s="256" t="s">
        <v>34</v>
      </c>
      <c r="C107" s="257" t="s">
        <v>55</v>
      </c>
      <c r="D107" s="230"/>
      <c r="E107" s="230"/>
      <c r="F107" s="244"/>
      <c r="G107" s="187"/>
      <c r="H107" s="186"/>
      <c r="I107" s="473"/>
      <c r="J107" s="310"/>
      <c r="K107" s="326"/>
    </row>
    <row r="108" spans="1:12" ht="15" hidden="1" x14ac:dyDescent="0.15">
      <c r="A108" s="236">
        <v>31</v>
      </c>
      <c r="B108" s="256" t="s">
        <v>34</v>
      </c>
      <c r="C108" s="257" t="s">
        <v>56</v>
      </c>
      <c r="D108" s="230"/>
      <c r="E108" s="230"/>
      <c r="F108" s="244"/>
      <c r="G108" s="187"/>
      <c r="H108" s="186"/>
      <c r="I108" s="473"/>
      <c r="J108" s="310"/>
      <c r="K108" s="326"/>
    </row>
    <row r="109" spans="1:12" ht="75" hidden="1" x14ac:dyDescent="0.15">
      <c r="B109" s="258"/>
      <c r="C109" s="259" t="s">
        <v>57</v>
      </c>
      <c r="D109" s="244" t="s">
        <v>58</v>
      </c>
      <c r="E109" s="244" t="str">
        <f>"нормо-час/"&amp;E73</f>
        <v>нормо-час/коробка</v>
      </c>
      <c r="F109" s="233"/>
      <c r="G109" s="228"/>
      <c r="H109" s="228"/>
      <c r="I109" s="473"/>
      <c r="J109" s="310" t="str">
        <f>IF(G109*G110&gt;G88,"ОШИБКА: затраты на оплату труда больше общей переменной себестоимости. Проверить нормы, цены, с/с","")</f>
        <v/>
      </c>
      <c r="K109" s="259" t="s">
        <v>150</v>
      </c>
      <c r="L109" s="252"/>
    </row>
    <row r="110" spans="1:12" ht="60" hidden="1" x14ac:dyDescent="0.15">
      <c r="B110" s="258"/>
      <c r="C110" s="259" t="s">
        <v>61</v>
      </c>
      <c r="D110" s="244" t="s">
        <v>62</v>
      </c>
      <c r="E110" s="244" t="s">
        <v>63</v>
      </c>
      <c r="F110" s="233"/>
      <c r="G110" s="228"/>
      <c r="H110" s="228"/>
      <c r="I110" s="473"/>
      <c r="J110" s="310"/>
      <c r="K110" s="259" t="s">
        <v>64</v>
      </c>
      <c r="L110" s="252"/>
    </row>
    <row r="111" spans="1:12" hidden="1" x14ac:dyDescent="0.15">
      <c r="B111" s="261" t="s">
        <v>151</v>
      </c>
      <c r="C111" s="262"/>
      <c r="D111" s="232"/>
      <c r="E111" s="232"/>
      <c r="F111" s="244"/>
      <c r="G111" s="363"/>
      <c r="H111" s="363"/>
      <c r="I111" s="473"/>
      <c r="J111" s="310"/>
      <c r="K111" s="259"/>
      <c r="L111" s="236"/>
    </row>
    <row r="112" spans="1:12" ht="15" hidden="1" x14ac:dyDescent="0.15">
      <c r="A112" s="393"/>
      <c r="B112" s="398"/>
      <c r="C112" s="397" t="s">
        <v>152</v>
      </c>
      <c r="D112" s="230"/>
      <c r="E112" s="230"/>
      <c r="F112" s="244"/>
      <c r="G112" s="399"/>
      <c r="H112" s="186"/>
      <c r="I112" s="473"/>
      <c r="J112" s="310"/>
      <c r="K112" s="397"/>
    </row>
    <row r="113" spans="1:12" ht="15" hidden="1" x14ac:dyDescent="0.15">
      <c r="B113" s="263"/>
      <c r="C113" s="264" t="s">
        <v>153</v>
      </c>
      <c r="D113" s="244"/>
      <c r="E113" s="253" t="s">
        <v>39</v>
      </c>
      <c r="F113" s="255"/>
      <c r="G113" s="359"/>
      <c r="H113" s="361"/>
      <c r="I113" s="473"/>
      <c r="J113" s="310"/>
      <c r="K113" s="259"/>
      <c r="L113" s="252"/>
    </row>
    <row r="114" spans="1:12" ht="15" hidden="1" x14ac:dyDescent="0.15">
      <c r="B114" s="263"/>
      <c r="C114" s="264" t="s">
        <v>154</v>
      </c>
      <c r="D114" s="244"/>
      <c r="E114" s="253" t="s">
        <v>42</v>
      </c>
      <c r="F114" s="255"/>
      <c r="G114" s="228"/>
      <c r="H114" s="359"/>
      <c r="I114" s="473"/>
      <c r="J114" s="310"/>
      <c r="K114" s="259"/>
      <c r="L114" s="252"/>
    </row>
    <row r="115" spans="1:12" ht="15" hidden="1" x14ac:dyDescent="0.15">
      <c r="B115" s="263"/>
      <c r="C115" s="264" t="s">
        <v>155</v>
      </c>
      <c r="D115" s="244"/>
      <c r="E115" s="253" t="s">
        <v>42</v>
      </c>
      <c r="F115" s="255"/>
      <c r="G115" s="228"/>
      <c r="H115" s="359"/>
      <c r="I115" s="473"/>
      <c r="J115" s="310"/>
      <c r="K115" s="259"/>
      <c r="L115" s="252"/>
    </row>
    <row r="116" spans="1:12" hidden="1" x14ac:dyDescent="0.15">
      <c r="B116" s="261" t="s">
        <v>156</v>
      </c>
      <c r="C116" s="262"/>
      <c r="D116" s="232"/>
      <c r="E116" s="232"/>
      <c r="F116" s="244"/>
      <c r="G116" s="363"/>
      <c r="H116" s="363"/>
      <c r="I116" s="473"/>
      <c r="J116" s="310"/>
      <c r="K116" s="259"/>
      <c r="L116" s="236"/>
    </row>
    <row r="117" spans="1:12" ht="15" hidden="1" x14ac:dyDescent="0.15">
      <c r="A117" s="236">
        <v>32</v>
      </c>
      <c r="B117" s="244" t="s">
        <v>34</v>
      </c>
      <c r="C117" s="245" t="s">
        <v>157</v>
      </c>
      <c r="D117" s="230"/>
      <c r="E117" s="230"/>
      <c r="F117" s="244"/>
      <c r="G117" s="187"/>
      <c r="H117" s="188"/>
      <c r="I117" s="473"/>
      <c r="J117" s="310"/>
      <c r="K117" s="326"/>
    </row>
    <row r="118" spans="1:12" ht="15" hidden="1" x14ac:dyDescent="0.15">
      <c r="A118" s="236">
        <v>33</v>
      </c>
      <c r="B118" s="231" t="s">
        <v>34</v>
      </c>
      <c r="C118" s="257" t="s">
        <v>647</v>
      </c>
      <c r="D118" s="230"/>
      <c r="E118" s="230"/>
      <c r="F118" s="244"/>
      <c r="G118" s="187"/>
      <c r="H118" s="186"/>
      <c r="I118" s="473"/>
      <c r="J118" s="310"/>
      <c r="K118" s="326"/>
    </row>
    <row r="119" spans="1:12" ht="58.25" hidden="1" customHeight="1" x14ac:dyDescent="0.15">
      <c r="B119" s="251"/>
      <c r="C119" s="259" t="s">
        <v>48</v>
      </c>
      <c r="D119" s="244" t="s">
        <v>49</v>
      </c>
      <c r="E119" s="244" t="s">
        <v>50</v>
      </c>
      <c r="F119" s="233"/>
      <c r="G119" s="229"/>
      <c r="H119" s="229"/>
      <c r="I119" s="473"/>
      <c r="J119" s="310" t="str">
        <f>IF(AND(G117="нет",G119&gt;G120),"ОШИБКА: если спрос меньше возможностей производства, время цикла узкого места должно быть меньше времени такта","")</f>
        <v/>
      </c>
      <c r="K119" s="259"/>
      <c r="L119" s="252"/>
    </row>
    <row r="120" spans="1:12" ht="58.25" hidden="1" customHeight="1" x14ac:dyDescent="0.15">
      <c r="B120" s="251"/>
      <c r="C120" s="259" t="s">
        <v>119</v>
      </c>
      <c r="D120" s="244" t="s">
        <v>120</v>
      </c>
      <c r="E120" s="244" t="s">
        <v>50</v>
      </c>
      <c r="F120" s="233"/>
      <c r="G120" s="229"/>
      <c r="H120" s="229"/>
      <c r="I120" s="473"/>
      <c r="J120" s="310" t="str">
        <f>IF(AND(G117="да",G119&lt;G120),"ОШИБКА: если спрос больше возможностей производства, время цикла узкого места должно быть больше времени такта","")</f>
        <v/>
      </c>
      <c r="K120" s="259" t="s">
        <v>121</v>
      </c>
      <c r="L120" s="252"/>
    </row>
    <row r="121" spans="1:12" ht="30" hidden="1" x14ac:dyDescent="0.15">
      <c r="A121" s="236">
        <v>37</v>
      </c>
      <c r="B121" s="400"/>
      <c r="C121" s="397" t="s">
        <v>122</v>
      </c>
      <c r="D121" s="230"/>
      <c r="E121" s="230"/>
      <c r="F121" s="244"/>
      <c r="G121" s="187"/>
      <c r="H121" s="186"/>
      <c r="I121" s="473"/>
      <c r="J121" s="310"/>
      <c r="K121" s="326" t="s">
        <v>123</v>
      </c>
    </row>
    <row r="122" spans="1:12" ht="60" hidden="1" x14ac:dyDescent="0.15">
      <c r="B122" s="251"/>
      <c r="C122" s="259" t="s">
        <v>124</v>
      </c>
      <c r="D122" s="244"/>
      <c r="E122" s="244" t="s">
        <v>50</v>
      </c>
      <c r="F122" s="233"/>
      <c r="G122" s="229"/>
      <c r="H122" s="229"/>
      <c r="I122" s="473"/>
      <c r="J122" s="310"/>
      <c r="K122" s="259" t="s">
        <v>125</v>
      </c>
      <c r="L122" s="252"/>
    </row>
    <row r="123" spans="1:12" ht="15" hidden="1" x14ac:dyDescent="0.15">
      <c r="B123" s="251"/>
      <c r="C123" s="250" t="s">
        <v>158</v>
      </c>
      <c r="D123" s="244" t="s">
        <v>127</v>
      </c>
      <c r="E123" s="244" t="s">
        <v>128</v>
      </c>
      <c r="F123" s="233"/>
      <c r="G123" s="228"/>
      <c r="H123" s="228"/>
      <c r="I123" s="473"/>
      <c r="J123" s="310"/>
      <c r="K123" s="259"/>
      <c r="L123" s="252"/>
    </row>
    <row r="124" spans="1:12" ht="15" hidden="1" x14ac:dyDescent="0.15">
      <c r="B124" s="251"/>
      <c r="C124" s="250" t="s">
        <v>129</v>
      </c>
      <c r="D124" s="244" t="s">
        <v>130</v>
      </c>
      <c r="E124" s="244" t="s">
        <v>131</v>
      </c>
      <c r="F124" s="233"/>
      <c r="G124" s="228"/>
      <c r="H124" s="228"/>
      <c r="I124" s="473"/>
      <c r="J124" s="310"/>
      <c r="K124" s="259"/>
      <c r="L124" s="252"/>
    </row>
    <row r="125" spans="1:12" ht="15" hidden="1" x14ac:dyDescent="0.15">
      <c r="B125" s="251"/>
      <c r="C125" s="250" t="s">
        <v>132</v>
      </c>
      <c r="D125" s="244" t="s">
        <v>133</v>
      </c>
      <c r="E125" s="328" t="s">
        <v>134</v>
      </c>
      <c r="F125" s="260"/>
      <c r="G125" s="228"/>
      <c r="H125" s="228"/>
      <c r="I125" s="473"/>
      <c r="J125" s="310"/>
      <c r="K125" s="259"/>
      <c r="L125" s="252"/>
    </row>
    <row r="126" spans="1:12" ht="15" hidden="1" x14ac:dyDescent="0.15">
      <c r="B126" s="263"/>
      <c r="C126" s="264" t="s">
        <v>159</v>
      </c>
      <c r="D126" s="244"/>
      <c r="E126" s="253" t="s">
        <v>42</v>
      </c>
      <c r="F126" s="255"/>
      <c r="G126" s="228"/>
      <c r="H126" s="359"/>
      <c r="I126" s="473"/>
      <c r="J126" s="310"/>
      <c r="K126" s="259"/>
      <c r="L126" s="252"/>
    </row>
    <row r="127" spans="1:12" ht="15" hidden="1" x14ac:dyDescent="0.15">
      <c r="B127" s="263"/>
      <c r="C127" s="264" t="s">
        <v>160</v>
      </c>
      <c r="D127" s="244"/>
      <c r="E127" s="253" t="s">
        <v>42</v>
      </c>
      <c r="F127" s="255"/>
      <c r="G127" s="228"/>
      <c r="H127" s="359"/>
      <c r="I127" s="473"/>
      <c r="J127" s="310"/>
      <c r="K127" s="259" t="s">
        <v>53</v>
      </c>
      <c r="L127" s="252"/>
    </row>
    <row r="128" spans="1:12" hidden="1" x14ac:dyDescent="0.15">
      <c r="B128" s="261" t="s">
        <v>161</v>
      </c>
      <c r="C128" s="262"/>
      <c r="D128" s="232"/>
      <c r="E128" s="232"/>
      <c r="F128" s="244"/>
      <c r="G128" s="363"/>
      <c r="H128" s="363"/>
      <c r="I128" s="473"/>
      <c r="J128" s="310"/>
      <c r="K128" s="259"/>
      <c r="L128" s="236"/>
    </row>
    <row r="129" spans="1:12" ht="15" hidden="1" x14ac:dyDescent="0.15">
      <c r="A129" s="236">
        <v>34</v>
      </c>
      <c r="B129" s="256" t="s">
        <v>34</v>
      </c>
      <c r="C129" s="257" t="s">
        <v>162</v>
      </c>
      <c r="D129" s="230"/>
      <c r="E129" s="230"/>
      <c r="F129" s="244"/>
      <c r="G129" s="187"/>
      <c r="H129" s="186"/>
      <c r="I129" s="473"/>
      <c r="J129" s="310"/>
      <c r="K129" s="326"/>
    </row>
    <row r="130" spans="1:12" ht="15" hidden="1" x14ac:dyDescent="0.15">
      <c r="A130" s="236">
        <v>35</v>
      </c>
      <c r="B130" s="244" t="s">
        <v>34</v>
      </c>
      <c r="C130" s="245" t="s">
        <v>54</v>
      </c>
      <c r="D130" s="230"/>
      <c r="E130" s="230"/>
      <c r="F130" s="244"/>
      <c r="G130" s="205"/>
      <c r="H130" s="207"/>
      <c r="I130" s="473"/>
      <c r="J130" s="310"/>
      <c r="K130" s="289"/>
    </row>
    <row r="131" spans="1:12" ht="15" hidden="1" x14ac:dyDescent="0.15">
      <c r="A131" s="236">
        <v>36</v>
      </c>
      <c r="B131" s="244" t="s">
        <v>34</v>
      </c>
      <c r="C131" s="245" t="s">
        <v>55</v>
      </c>
      <c r="D131" s="230"/>
      <c r="E131" s="230"/>
      <c r="F131" s="246"/>
      <c r="G131" s="206"/>
      <c r="H131" s="207"/>
      <c r="I131" s="473"/>
      <c r="J131" s="310"/>
      <c r="K131" s="289"/>
    </row>
    <row r="132" spans="1:12" ht="15" hidden="1" x14ac:dyDescent="0.15">
      <c r="A132" s="236">
        <v>41</v>
      </c>
      <c r="B132" s="400"/>
      <c r="C132" s="395" t="s">
        <v>56</v>
      </c>
      <c r="D132" s="230"/>
      <c r="E132" s="230"/>
      <c r="F132" s="246"/>
      <c r="G132" s="206"/>
      <c r="H132" s="207"/>
      <c r="I132" s="473"/>
      <c r="J132" s="310"/>
      <c r="K132" s="289"/>
    </row>
    <row r="133" spans="1:12" ht="75" hidden="1" x14ac:dyDescent="0.15">
      <c r="B133" s="244"/>
      <c r="C133" s="249" t="s">
        <v>57</v>
      </c>
      <c r="D133" s="246" t="s">
        <v>58</v>
      </c>
      <c r="E133" s="246" t="str">
        <f>"нормо-час/"&amp;E73</f>
        <v>нормо-час/коробка</v>
      </c>
      <c r="F133" s="233"/>
      <c r="G133" s="228"/>
      <c r="H133" s="228"/>
      <c r="I133" s="473"/>
      <c r="J133" s="310"/>
      <c r="K133" s="254" t="s">
        <v>150</v>
      </c>
      <c r="L133" s="236"/>
    </row>
    <row r="134" spans="1:12" ht="60" hidden="1" x14ac:dyDescent="0.15">
      <c r="B134" s="244"/>
      <c r="C134" s="249" t="s">
        <v>96</v>
      </c>
      <c r="D134" s="246" t="s">
        <v>62</v>
      </c>
      <c r="E134" s="246" t="s">
        <v>63</v>
      </c>
      <c r="F134" s="233"/>
      <c r="G134" s="228"/>
      <c r="H134" s="228"/>
      <c r="I134" s="473"/>
      <c r="J134" s="310"/>
      <c r="K134" s="254" t="s">
        <v>64</v>
      </c>
      <c r="L134" s="236"/>
    </row>
    <row r="135" spans="1:12" ht="42" hidden="1" customHeight="1" x14ac:dyDescent="0.15">
      <c r="B135" s="244"/>
      <c r="C135" s="259" t="s">
        <v>163</v>
      </c>
      <c r="D135" s="246"/>
      <c r="E135" s="244" t="s">
        <v>42</v>
      </c>
      <c r="F135" s="233"/>
      <c r="G135" s="228"/>
      <c r="H135" s="357"/>
      <c r="I135" s="473"/>
      <c r="J135" s="310" t="str">
        <f>IF(G135&gt;G127,"ОШИБКА: затраты на оплату труда больше общих переменных затрат","")</f>
        <v/>
      </c>
      <c r="K135" s="254"/>
      <c r="L135" s="236"/>
    </row>
    <row r="136" spans="1:12" ht="15" hidden="1" x14ac:dyDescent="0.15">
      <c r="A136" s="236">
        <v>37</v>
      </c>
      <c r="B136" s="244" t="s">
        <v>34</v>
      </c>
      <c r="C136" s="245" t="s">
        <v>65</v>
      </c>
      <c r="D136" s="230"/>
      <c r="E136" s="230"/>
      <c r="F136" s="244"/>
      <c r="G136" s="206"/>
      <c r="H136" s="186"/>
      <c r="I136" s="473"/>
      <c r="J136" s="310"/>
      <c r="K136" s="326"/>
    </row>
    <row r="137" spans="1:12" ht="15" hidden="1" x14ac:dyDescent="0.15">
      <c r="B137" s="258"/>
      <c r="C137" s="259" t="s">
        <v>164</v>
      </c>
      <c r="D137" s="244"/>
      <c r="E137" s="244" t="s">
        <v>99</v>
      </c>
      <c r="F137" s="233"/>
      <c r="G137" s="228"/>
      <c r="H137" s="228"/>
      <c r="I137" s="473"/>
      <c r="J137" s="310"/>
      <c r="K137" s="259"/>
      <c r="L137" s="236"/>
    </row>
    <row r="138" spans="1:12" ht="15" hidden="1" x14ac:dyDescent="0.15">
      <c r="A138" s="236">
        <v>38</v>
      </c>
      <c r="B138" s="244" t="s">
        <v>34</v>
      </c>
      <c r="C138" s="245" t="s">
        <v>101</v>
      </c>
      <c r="D138" s="230"/>
      <c r="E138" s="230"/>
      <c r="F138" s="244"/>
      <c r="G138" s="206"/>
      <c r="H138" s="186"/>
      <c r="I138" s="473"/>
      <c r="J138" s="310"/>
      <c r="K138" s="326"/>
    </row>
    <row r="139" spans="1:12" ht="32" hidden="1" customHeight="1" x14ac:dyDescent="0.15">
      <c r="B139" s="258"/>
      <c r="C139" s="259" t="s">
        <v>165</v>
      </c>
      <c r="D139" s="244"/>
      <c r="E139" s="244" t="s">
        <v>42</v>
      </c>
      <c r="F139" s="233"/>
      <c r="G139" s="228"/>
      <c r="H139" s="360"/>
      <c r="I139" s="473"/>
      <c r="J139" s="310" t="str">
        <f>IF(G139&gt;G127,"ОШИБКА: затраты на сырье больше общих переменных затрат","")</f>
        <v/>
      </c>
      <c r="K139" s="259"/>
      <c r="L139" s="236"/>
    </row>
    <row r="140" spans="1:12" ht="30" hidden="1" x14ac:dyDescent="0.15">
      <c r="A140" s="236">
        <v>39</v>
      </c>
      <c r="B140" s="256" t="s">
        <v>34</v>
      </c>
      <c r="C140" s="257" t="s">
        <v>75</v>
      </c>
      <c r="D140" s="230"/>
      <c r="E140" s="230"/>
      <c r="F140" s="244"/>
      <c r="G140" s="206"/>
      <c r="H140" s="186"/>
      <c r="I140" s="473"/>
      <c r="J140" s="310"/>
      <c r="K140" s="326"/>
    </row>
    <row r="141" spans="1:12" ht="44" hidden="1" customHeight="1" x14ac:dyDescent="0.15">
      <c r="B141" s="258"/>
      <c r="C141" s="259" t="s">
        <v>166</v>
      </c>
      <c r="D141" s="244"/>
      <c r="E141" s="244" t="s">
        <v>99</v>
      </c>
      <c r="F141" s="233"/>
      <c r="G141" s="228"/>
      <c r="H141" s="228"/>
      <c r="I141" s="473"/>
      <c r="J141" s="310"/>
      <c r="K141" s="259"/>
      <c r="L141" s="236"/>
    </row>
    <row r="142" spans="1:12" ht="15" hidden="1" x14ac:dyDescent="0.15">
      <c r="A142" s="236">
        <v>40</v>
      </c>
      <c r="B142" s="244" t="s">
        <v>34</v>
      </c>
      <c r="C142" s="245" t="s">
        <v>105</v>
      </c>
      <c r="D142" s="230"/>
      <c r="E142" s="230"/>
      <c r="F142" s="244"/>
      <c r="G142" s="206"/>
      <c r="H142" s="186"/>
      <c r="I142" s="473"/>
      <c r="J142" s="310"/>
      <c r="K142" s="326"/>
    </row>
    <row r="143" spans="1:12" ht="44" hidden="1" customHeight="1" x14ac:dyDescent="0.15">
      <c r="B143" s="244"/>
      <c r="C143" s="259" t="s">
        <v>167</v>
      </c>
      <c r="D143" s="246"/>
      <c r="E143" s="246" t="s">
        <v>42</v>
      </c>
      <c r="F143" s="233"/>
      <c r="G143" s="228"/>
      <c r="H143" s="357"/>
      <c r="I143" s="473"/>
      <c r="J143" s="310" t="str">
        <f>IF(G143&gt;G127,"ОШИБКА: затраты на энергоресурсы больше общих переменных затрат","")</f>
        <v/>
      </c>
      <c r="K143" s="254"/>
      <c r="L143" s="236"/>
    </row>
    <row r="144" spans="1:12" hidden="1" x14ac:dyDescent="0.15">
      <c r="B144" s="247" t="s">
        <v>168</v>
      </c>
      <c r="C144" s="248"/>
      <c r="D144" s="232"/>
      <c r="E144" s="232"/>
      <c r="F144" s="244"/>
      <c r="G144" s="363"/>
      <c r="H144" s="363"/>
      <c r="I144" s="473"/>
      <c r="J144" s="310"/>
      <c r="K144" s="259"/>
      <c r="L144" s="236"/>
    </row>
    <row r="145" spans="1:12" hidden="1" x14ac:dyDescent="0.15">
      <c r="A145" s="236">
        <v>41</v>
      </c>
      <c r="B145" s="330" t="s">
        <v>34</v>
      </c>
      <c r="C145" s="331" t="s">
        <v>169</v>
      </c>
      <c r="D145" s="330"/>
      <c r="E145" s="330"/>
      <c r="F145" s="330"/>
      <c r="G145" s="188" t="s">
        <v>571</v>
      </c>
      <c r="H145" s="188"/>
      <c r="I145" s="189"/>
      <c r="J145" s="330"/>
      <c r="K145" s="330"/>
    </row>
    <row r="146" spans="1:12" ht="15" hidden="1" x14ac:dyDescent="0.15">
      <c r="B146" s="253"/>
      <c r="C146" s="254" t="s">
        <v>170</v>
      </c>
      <c r="D146" s="244" t="s">
        <v>171</v>
      </c>
      <c r="E146" s="253" t="s">
        <v>172</v>
      </c>
      <c r="F146" s="255"/>
      <c r="G146" s="228"/>
      <c r="H146" s="228"/>
      <c r="I146" s="473"/>
      <c r="J146" s="310"/>
      <c r="K146" s="259"/>
      <c r="L146" s="236"/>
    </row>
    <row r="147" spans="1:12" ht="15" hidden="1" x14ac:dyDescent="0.15">
      <c r="B147" s="253"/>
      <c r="C147" s="254" t="s">
        <v>173</v>
      </c>
      <c r="D147" s="244" t="s">
        <v>174</v>
      </c>
      <c r="E147" s="244" t="s">
        <v>42</v>
      </c>
      <c r="F147" s="233"/>
      <c r="G147" s="228"/>
      <c r="H147" s="360"/>
      <c r="I147" s="473"/>
      <c r="J147" s="310"/>
      <c r="K147" s="259"/>
      <c r="L147" s="236"/>
    </row>
    <row r="148" spans="1:12" ht="30" hidden="1" x14ac:dyDescent="0.15">
      <c r="A148" s="236">
        <v>42</v>
      </c>
      <c r="B148" s="244" t="s">
        <v>34</v>
      </c>
      <c r="C148" s="245" t="s">
        <v>175</v>
      </c>
      <c r="D148" s="230"/>
      <c r="E148" s="230"/>
      <c r="F148" s="244"/>
      <c r="G148" s="187" t="s">
        <v>571</v>
      </c>
      <c r="H148" s="186"/>
      <c r="I148" s="473"/>
      <c r="J148" s="310"/>
      <c r="K148" s="326"/>
    </row>
    <row r="149" spans="1:12" ht="15" hidden="1" x14ac:dyDescent="0.15">
      <c r="A149" s="236">
        <v>43</v>
      </c>
      <c r="B149" s="244" t="s">
        <v>34</v>
      </c>
      <c r="C149" s="245" t="s">
        <v>176</v>
      </c>
      <c r="D149" s="230"/>
      <c r="E149" s="230"/>
      <c r="F149" s="244"/>
      <c r="G149" s="187"/>
      <c r="H149" s="186"/>
      <c r="I149" s="473"/>
      <c r="J149" s="310"/>
      <c r="K149" s="326"/>
    </row>
    <row r="150" spans="1:12" ht="15" hidden="1" x14ac:dyDescent="0.15">
      <c r="B150" s="251"/>
      <c r="C150" s="250" t="s">
        <v>177</v>
      </c>
      <c r="D150" s="244" t="s">
        <v>178</v>
      </c>
      <c r="E150" s="244" t="s">
        <v>79</v>
      </c>
      <c r="F150" s="233"/>
      <c r="G150" s="228"/>
      <c r="H150" s="228"/>
      <c r="I150" s="473"/>
      <c r="J150" s="310"/>
      <c r="K150" s="259"/>
      <c r="L150" s="236"/>
    </row>
    <row r="151" spans="1:12" ht="45" hidden="1" x14ac:dyDescent="0.15">
      <c r="B151" s="251"/>
      <c r="C151" s="250" t="s">
        <v>80</v>
      </c>
      <c r="D151" s="244" t="s">
        <v>81</v>
      </c>
      <c r="E151" s="244" t="s">
        <v>82</v>
      </c>
      <c r="F151" s="233"/>
      <c r="G151" s="228"/>
      <c r="H151" s="360"/>
      <c r="I151" s="473"/>
      <c r="J151" s="310"/>
      <c r="K151" s="259" t="s">
        <v>83</v>
      </c>
      <c r="L151" s="236"/>
    </row>
    <row r="152" spans="1:12" ht="15" hidden="1" x14ac:dyDescent="0.15">
      <c r="A152" s="236">
        <v>44</v>
      </c>
      <c r="B152" s="244" t="s">
        <v>34</v>
      </c>
      <c r="C152" s="245" t="s">
        <v>179</v>
      </c>
      <c r="D152" s="230"/>
      <c r="E152" s="230"/>
      <c r="F152" s="244"/>
      <c r="G152" s="187"/>
      <c r="H152" s="186"/>
      <c r="I152" s="473"/>
      <c r="J152" s="310"/>
      <c r="K152" s="326"/>
    </row>
    <row r="153" spans="1:12" ht="15" hidden="1" x14ac:dyDescent="0.15">
      <c r="B153" s="251"/>
      <c r="C153" s="250" t="s">
        <v>180</v>
      </c>
      <c r="D153" s="244" t="s">
        <v>181</v>
      </c>
      <c r="E153" s="244" t="s">
        <v>86</v>
      </c>
      <c r="F153" s="233"/>
      <c r="G153" s="228"/>
      <c r="H153" s="228"/>
      <c r="I153" s="473"/>
      <c r="J153" s="310"/>
      <c r="K153" s="259"/>
      <c r="L153" s="236"/>
    </row>
    <row r="154" spans="1:12" ht="69" hidden="1" customHeight="1" x14ac:dyDescent="0.15">
      <c r="B154" s="251"/>
      <c r="C154" s="250" t="s">
        <v>87</v>
      </c>
      <c r="D154" s="244" t="s">
        <v>182</v>
      </c>
      <c r="E154" s="244" t="s">
        <v>88</v>
      </c>
      <c r="F154" s="233"/>
      <c r="G154" s="228"/>
      <c r="H154" s="360"/>
      <c r="I154" s="473"/>
      <c r="J154" s="310"/>
      <c r="K154" s="259" t="s">
        <v>83</v>
      </c>
      <c r="L154" s="236"/>
    </row>
    <row r="155" spans="1:12" ht="15" hidden="1" x14ac:dyDescent="0.15">
      <c r="A155" s="236">
        <v>45</v>
      </c>
      <c r="B155" s="244" t="s">
        <v>34</v>
      </c>
      <c r="C155" s="245" t="s">
        <v>644</v>
      </c>
      <c r="D155" s="230"/>
      <c r="E155" s="230"/>
      <c r="F155" s="244"/>
      <c r="G155" s="187"/>
      <c r="H155" s="186"/>
      <c r="I155" s="473"/>
      <c r="J155" s="310"/>
      <c r="K155" s="326"/>
    </row>
    <row r="156" spans="1:12" ht="15" hidden="1" x14ac:dyDescent="0.15">
      <c r="B156" s="251"/>
      <c r="C156" s="250" t="s">
        <v>641</v>
      </c>
      <c r="D156" s="244" t="s">
        <v>183</v>
      </c>
      <c r="E156" s="489"/>
      <c r="F156" s="233"/>
      <c r="G156" s="228"/>
      <c r="H156" s="228"/>
      <c r="I156" s="473"/>
      <c r="J156" s="310"/>
      <c r="K156" s="259"/>
      <c r="L156" s="236"/>
    </row>
    <row r="157" spans="1:12" ht="49.5" hidden="1" customHeight="1" x14ac:dyDescent="0.15">
      <c r="B157" s="251"/>
      <c r="C157" s="250" t="s">
        <v>636</v>
      </c>
      <c r="D157" s="244" t="s">
        <v>184</v>
      </c>
      <c r="E157" s="244" t="str">
        <f>"руб./"&amp;E156</f>
        <v>руб./</v>
      </c>
      <c r="F157" s="233"/>
      <c r="G157" s="228"/>
      <c r="H157" s="360"/>
      <c r="I157" s="473"/>
      <c r="J157" s="310"/>
      <c r="K157" s="259" t="s">
        <v>83</v>
      </c>
      <c r="L157" s="236"/>
    </row>
    <row r="158" spans="1:12" hidden="1" x14ac:dyDescent="0.15">
      <c r="A158" s="236">
        <v>46</v>
      </c>
      <c r="B158" s="244" t="s">
        <v>34</v>
      </c>
      <c r="C158" s="265" t="s">
        <v>185</v>
      </c>
      <c r="D158" s="230"/>
      <c r="E158" s="230"/>
      <c r="F158" s="244"/>
      <c r="G158" s="187"/>
      <c r="H158" s="186"/>
      <c r="I158" s="473"/>
      <c r="J158" s="310"/>
      <c r="K158" s="326"/>
    </row>
    <row r="159" spans="1:12" ht="15" hidden="1" x14ac:dyDescent="0.15">
      <c r="B159" s="251"/>
      <c r="C159" s="250" t="s">
        <v>186</v>
      </c>
      <c r="D159" s="244" t="s">
        <v>187</v>
      </c>
      <c r="E159" s="244" t="s">
        <v>91</v>
      </c>
      <c r="F159" s="233"/>
      <c r="G159" s="228"/>
      <c r="H159" s="228"/>
      <c r="I159" s="473"/>
      <c r="J159" s="310"/>
      <c r="K159" s="259"/>
      <c r="L159" s="236"/>
    </row>
    <row r="160" spans="1:12" ht="45" hidden="1" x14ac:dyDescent="0.15">
      <c r="B160" s="251"/>
      <c r="C160" s="250" t="s">
        <v>92</v>
      </c>
      <c r="D160" s="244" t="s">
        <v>188</v>
      </c>
      <c r="E160" s="244" t="s">
        <v>93</v>
      </c>
      <c r="F160" s="233"/>
      <c r="G160" s="228"/>
      <c r="H160" s="360"/>
      <c r="I160" s="473"/>
      <c r="J160" s="310"/>
      <c r="K160" s="259" t="s">
        <v>83</v>
      </c>
      <c r="L160" s="236"/>
    </row>
    <row r="161" spans="1:12" ht="45" hidden="1" x14ac:dyDescent="0.15">
      <c r="A161" s="236">
        <v>47</v>
      </c>
      <c r="B161" s="244" t="s">
        <v>34</v>
      </c>
      <c r="C161" s="245" t="s">
        <v>189</v>
      </c>
      <c r="D161" s="230"/>
      <c r="E161" s="230"/>
      <c r="F161" s="244"/>
      <c r="G161" s="187" t="s">
        <v>571</v>
      </c>
      <c r="H161" s="186"/>
      <c r="I161" s="473"/>
      <c r="J161" s="310"/>
      <c r="K161" s="326" t="s">
        <v>190</v>
      </c>
    </row>
    <row r="162" spans="1:12" ht="15" hidden="1" x14ac:dyDescent="0.15">
      <c r="B162" s="251"/>
      <c r="C162" s="250" t="s">
        <v>191</v>
      </c>
      <c r="D162" s="244" t="s">
        <v>192</v>
      </c>
      <c r="E162" s="244" t="s">
        <v>42</v>
      </c>
      <c r="F162" s="233"/>
      <c r="G162" s="228"/>
      <c r="H162" s="228"/>
      <c r="I162" s="473"/>
      <c r="J162" s="310"/>
      <c r="K162" s="259"/>
      <c r="L162" s="236"/>
    </row>
    <row r="163" spans="1:12" hidden="1" x14ac:dyDescent="0.15">
      <c r="B163" s="247" t="s">
        <v>193</v>
      </c>
      <c r="C163" s="248"/>
      <c r="D163" s="232"/>
      <c r="E163" s="232"/>
      <c r="F163" s="244"/>
      <c r="G163" s="363"/>
      <c r="H163" s="363"/>
      <c r="I163" s="473"/>
      <c r="J163" s="310"/>
      <c r="K163" s="259"/>
      <c r="L163" s="236"/>
    </row>
    <row r="164" spans="1:12" ht="15" hidden="1" x14ac:dyDescent="0.15">
      <c r="A164" s="236">
        <v>48</v>
      </c>
      <c r="B164" s="244" t="s">
        <v>34</v>
      </c>
      <c r="C164" s="245" t="s">
        <v>194</v>
      </c>
      <c r="D164" s="230"/>
      <c r="E164" s="230"/>
      <c r="F164" s="244"/>
      <c r="G164" s="187" t="s">
        <v>571</v>
      </c>
      <c r="H164" s="186"/>
      <c r="I164" s="473"/>
      <c r="J164" s="310"/>
      <c r="K164" s="326"/>
    </row>
    <row r="165" spans="1:12" ht="15" hidden="1" x14ac:dyDescent="0.15">
      <c r="B165" s="251"/>
      <c r="C165" s="250" t="s">
        <v>195</v>
      </c>
      <c r="D165" s="244" t="s">
        <v>196</v>
      </c>
      <c r="E165" s="244" t="s">
        <v>197</v>
      </c>
      <c r="F165" s="233"/>
      <c r="G165" s="360"/>
      <c r="H165" s="228"/>
      <c r="I165" s="473"/>
      <c r="J165" s="310"/>
      <c r="K165" s="259"/>
      <c r="L165" s="236"/>
    </row>
    <row r="166" spans="1:12" ht="15" hidden="1" x14ac:dyDescent="0.15">
      <c r="A166" s="236">
        <v>49</v>
      </c>
      <c r="B166" s="244" t="s">
        <v>34</v>
      </c>
      <c r="C166" s="245" t="s">
        <v>198</v>
      </c>
      <c r="D166" s="230"/>
      <c r="E166" s="230"/>
      <c r="F166" s="244"/>
      <c r="G166" s="187"/>
      <c r="H166" s="186"/>
      <c r="I166" s="473"/>
      <c r="J166" s="310"/>
      <c r="K166" s="326"/>
    </row>
    <row r="167" spans="1:12" ht="15" hidden="1" x14ac:dyDescent="0.15">
      <c r="B167" s="251"/>
      <c r="C167" s="250" t="s">
        <v>199</v>
      </c>
      <c r="D167" s="244" t="s">
        <v>200</v>
      </c>
      <c r="E167" s="244" t="s">
        <v>201</v>
      </c>
      <c r="F167" s="233"/>
      <c r="G167" s="360"/>
      <c r="H167" s="228"/>
      <c r="I167" s="473"/>
      <c r="J167" s="310"/>
      <c r="K167" s="259" t="s">
        <v>202</v>
      </c>
      <c r="L167" s="236"/>
    </row>
    <row r="168" spans="1:12" ht="15" hidden="1" x14ac:dyDescent="0.15">
      <c r="B168" s="251"/>
      <c r="C168" s="250" t="s">
        <v>203</v>
      </c>
      <c r="D168" s="244" t="s">
        <v>200</v>
      </c>
      <c r="E168" s="244" t="s">
        <v>201</v>
      </c>
      <c r="F168" s="233"/>
      <c r="G168" s="360"/>
      <c r="H168" s="228"/>
      <c r="I168" s="473"/>
      <c r="J168" s="310"/>
      <c r="K168" s="259" t="s">
        <v>204</v>
      </c>
      <c r="L168" s="236"/>
    </row>
    <row r="169" spans="1:12" ht="15" hidden="1" x14ac:dyDescent="0.15">
      <c r="A169" s="236">
        <v>50</v>
      </c>
      <c r="B169" s="244" t="s">
        <v>34</v>
      </c>
      <c r="C169" s="245" t="s">
        <v>205</v>
      </c>
      <c r="D169" s="230"/>
      <c r="E169" s="230"/>
      <c r="F169" s="244"/>
      <c r="G169" s="187" t="s">
        <v>571</v>
      </c>
      <c r="H169" s="186"/>
      <c r="I169" s="473"/>
      <c r="J169" s="310"/>
      <c r="K169" s="326"/>
    </row>
    <row r="170" spans="1:12" ht="45" hidden="1" x14ac:dyDescent="0.15">
      <c r="B170" s="251"/>
      <c r="C170" s="250" t="s">
        <v>206</v>
      </c>
      <c r="D170" s="244" t="s">
        <v>207</v>
      </c>
      <c r="E170" s="244" t="s">
        <v>39</v>
      </c>
      <c r="F170" s="233"/>
      <c r="G170" s="366"/>
      <c r="H170" s="366"/>
      <c r="I170" s="473"/>
      <c r="J170" s="310"/>
      <c r="K170" s="259" t="s">
        <v>208</v>
      </c>
      <c r="L170" s="236"/>
    </row>
    <row r="171" spans="1:12" ht="15" hidden="1" x14ac:dyDescent="0.15">
      <c r="B171" s="251"/>
      <c r="C171" s="250" t="s">
        <v>209</v>
      </c>
      <c r="D171" s="244"/>
      <c r="E171" s="244" t="s">
        <v>42</v>
      </c>
      <c r="F171" s="233"/>
      <c r="G171" s="364"/>
      <c r="H171" s="365"/>
      <c r="I171" s="473"/>
      <c r="J171" s="310"/>
      <c r="K171" s="259"/>
      <c r="L171" s="236"/>
    </row>
    <row r="172" spans="1:12" hidden="1" x14ac:dyDescent="0.15">
      <c r="B172" s="247" t="s">
        <v>210</v>
      </c>
      <c r="C172" s="248"/>
      <c r="D172" s="232"/>
      <c r="E172" s="232"/>
      <c r="F172" s="244"/>
      <c r="G172" s="363"/>
      <c r="H172" s="363"/>
      <c r="I172" s="473"/>
      <c r="J172" s="310"/>
      <c r="K172" s="259"/>
      <c r="L172" s="236"/>
    </row>
    <row r="173" spans="1:12" ht="30" hidden="1" x14ac:dyDescent="0.15">
      <c r="A173" s="236">
        <v>51</v>
      </c>
      <c r="B173" s="244" t="s">
        <v>34</v>
      </c>
      <c r="C173" s="245" t="s">
        <v>670</v>
      </c>
      <c r="D173" s="230"/>
      <c r="E173" s="230"/>
      <c r="F173" s="244"/>
      <c r="G173" s="187" t="s">
        <v>571</v>
      </c>
      <c r="H173" s="186"/>
      <c r="I173" s="473"/>
      <c r="J173" s="310"/>
      <c r="K173" s="326"/>
    </row>
    <row r="174" spans="1:12" ht="15" hidden="1" x14ac:dyDescent="0.15">
      <c r="B174" s="251"/>
      <c r="C174" s="250" t="s">
        <v>671</v>
      </c>
      <c r="D174" s="244" t="s">
        <v>211</v>
      </c>
      <c r="E174" s="244" t="s">
        <v>128</v>
      </c>
      <c r="F174" s="233"/>
      <c r="G174" s="228"/>
      <c r="H174" s="228"/>
      <c r="I174" s="473"/>
      <c r="J174" s="310"/>
      <c r="K174" s="259"/>
      <c r="L174" s="252"/>
    </row>
    <row r="175" spans="1:12" ht="15" hidden="1" x14ac:dyDescent="0.15">
      <c r="B175" s="251"/>
      <c r="C175" s="250" t="s">
        <v>672</v>
      </c>
      <c r="D175" s="244" t="s">
        <v>212</v>
      </c>
      <c r="E175" s="244" t="s">
        <v>73</v>
      </c>
      <c r="F175" s="233"/>
      <c r="G175" s="228"/>
      <c r="H175" s="228"/>
      <c r="I175" s="473"/>
      <c r="J175" s="310"/>
      <c r="K175" s="259"/>
      <c r="L175" s="252"/>
    </row>
    <row r="176" spans="1:12" ht="15" hidden="1" x14ac:dyDescent="0.15">
      <c r="B176" s="251"/>
      <c r="C176" s="250" t="s">
        <v>673</v>
      </c>
      <c r="D176" s="244"/>
      <c r="E176" s="244" t="s">
        <v>42</v>
      </c>
      <c r="F176" s="233"/>
      <c r="G176" s="228"/>
      <c r="H176" s="228"/>
      <c r="I176" s="473"/>
      <c r="J176" s="310"/>
      <c r="K176" s="259"/>
      <c r="L176" s="252"/>
    </row>
    <row r="177" spans="1:18" ht="14" hidden="1" customHeight="1" x14ac:dyDescent="0.15">
      <c r="A177" s="236">
        <v>52</v>
      </c>
      <c r="B177" s="244" t="s">
        <v>34</v>
      </c>
      <c r="C177" s="245" t="s">
        <v>213</v>
      </c>
      <c r="D177" s="230"/>
      <c r="E177" s="230"/>
      <c r="F177" s="244"/>
      <c r="G177" s="187" t="s">
        <v>571</v>
      </c>
      <c r="H177" s="186"/>
      <c r="I177" s="473"/>
      <c r="J177" s="310"/>
      <c r="K177" s="326"/>
    </row>
    <row r="178" spans="1:18" ht="30" hidden="1" x14ac:dyDescent="0.15">
      <c r="A178" s="236">
        <v>53</v>
      </c>
      <c r="B178" s="244" t="s">
        <v>34</v>
      </c>
      <c r="C178" s="245" t="s">
        <v>214</v>
      </c>
      <c r="D178" s="230"/>
      <c r="E178" s="230"/>
      <c r="F178" s="244"/>
      <c r="G178" s="187"/>
      <c r="H178" s="186"/>
      <c r="I178" s="473"/>
      <c r="J178" s="310"/>
      <c r="K178" s="326" t="s">
        <v>215</v>
      </c>
    </row>
    <row r="179" spans="1:18" ht="15" hidden="1" x14ac:dyDescent="0.15">
      <c r="B179" s="251"/>
      <c r="C179" s="250" t="s">
        <v>216</v>
      </c>
      <c r="D179" s="244" t="s">
        <v>217</v>
      </c>
      <c r="E179" s="244" t="s">
        <v>218</v>
      </c>
      <c r="F179" s="233"/>
      <c r="G179" s="228"/>
      <c r="H179" s="228"/>
      <c r="I179" s="473"/>
      <c r="J179" s="310"/>
      <c r="K179" s="259"/>
      <c r="L179" s="252"/>
    </row>
    <row r="180" spans="1:18" ht="15" hidden="1" x14ac:dyDescent="0.15">
      <c r="B180" s="251"/>
      <c r="C180" s="250" t="s">
        <v>219</v>
      </c>
      <c r="D180" s="244"/>
      <c r="E180" s="244" t="s">
        <v>220</v>
      </c>
      <c r="F180" s="233"/>
      <c r="G180" s="228"/>
      <c r="H180" s="360"/>
      <c r="I180" s="473"/>
      <c r="J180" s="310"/>
      <c r="K180" s="259"/>
      <c r="L180" s="252"/>
    </row>
    <row r="181" spans="1:18" ht="15" hidden="1" x14ac:dyDescent="0.15">
      <c r="B181" s="251"/>
      <c r="C181" s="250" t="s">
        <v>221</v>
      </c>
      <c r="D181" s="244"/>
      <c r="E181" s="244" t="s">
        <v>42</v>
      </c>
      <c r="F181" s="233"/>
      <c r="G181" s="228"/>
      <c r="H181" s="228"/>
      <c r="I181" s="473"/>
      <c r="J181" s="310"/>
      <c r="K181" s="259"/>
      <c r="L181" s="252"/>
    </row>
    <row r="182" spans="1:18" ht="15" hidden="1" x14ac:dyDescent="0.15">
      <c r="A182" s="236">
        <v>54</v>
      </c>
      <c r="B182" s="244" t="s">
        <v>34</v>
      </c>
      <c r="C182" s="245" t="s">
        <v>222</v>
      </c>
      <c r="D182" s="230"/>
      <c r="E182" s="230"/>
      <c r="F182" s="244"/>
      <c r="G182" s="187" t="s">
        <v>571</v>
      </c>
      <c r="H182" s="186"/>
      <c r="I182" s="473"/>
      <c r="J182" s="310"/>
      <c r="K182" s="326" t="s">
        <v>223</v>
      </c>
    </row>
    <row r="183" spans="1:18" ht="15" hidden="1" x14ac:dyDescent="0.15">
      <c r="A183" s="236">
        <v>55</v>
      </c>
      <c r="B183" s="244" t="s">
        <v>34</v>
      </c>
      <c r="C183" s="245" t="s">
        <v>645</v>
      </c>
      <c r="D183" s="230"/>
      <c r="E183" s="230"/>
      <c r="F183" s="244"/>
      <c r="G183" s="187"/>
      <c r="H183" s="186"/>
      <c r="I183" s="473"/>
      <c r="J183" s="310"/>
      <c r="K183" s="326"/>
    </row>
    <row r="184" spans="1:18" ht="15" hidden="1" x14ac:dyDescent="0.15">
      <c r="B184" s="251"/>
      <c r="C184" s="250" t="s">
        <v>224</v>
      </c>
      <c r="D184" s="244" t="s">
        <v>225</v>
      </c>
      <c r="E184" s="244" t="str">
        <f>IF(OR(E73=0,E73=""),"",E73)</f>
        <v>коробка</v>
      </c>
      <c r="F184" s="233"/>
      <c r="G184" s="228"/>
      <c r="H184" s="228"/>
      <c r="I184" s="473"/>
      <c r="J184" s="310"/>
      <c r="K184" s="259"/>
      <c r="L184" s="266"/>
    </row>
    <row r="185" spans="1:18" ht="15" hidden="1" x14ac:dyDescent="0.15">
      <c r="B185" s="251"/>
      <c r="C185" s="250" t="s">
        <v>646</v>
      </c>
      <c r="D185" s="244" t="s">
        <v>225</v>
      </c>
      <c r="E185" s="244" t="str">
        <f>"руб./"&amp;E184</f>
        <v>руб./коробка</v>
      </c>
      <c r="F185" s="233"/>
      <c r="G185" s="228"/>
      <c r="H185" s="357"/>
      <c r="I185" s="473"/>
      <c r="J185" s="310"/>
      <c r="K185" s="259"/>
      <c r="L185" s="266"/>
    </row>
    <row r="186" spans="1:18" ht="15" hidden="1" x14ac:dyDescent="0.15">
      <c r="B186" s="251"/>
      <c r="C186" s="250" t="s">
        <v>226</v>
      </c>
      <c r="D186" s="244"/>
      <c r="E186" s="244" t="s">
        <v>42</v>
      </c>
      <c r="F186" s="233"/>
      <c r="G186" s="228"/>
      <c r="H186" s="228"/>
      <c r="I186" s="473"/>
      <c r="J186" s="310"/>
      <c r="K186" s="259"/>
      <c r="L186" s="252"/>
    </row>
    <row r="187" spans="1:18" ht="15" x14ac:dyDescent="0.15">
      <c r="B187" s="251"/>
      <c r="C187" s="250" t="s">
        <v>227</v>
      </c>
      <c r="D187" s="244" t="s">
        <v>228</v>
      </c>
      <c r="E187" s="244" t="s">
        <v>39</v>
      </c>
      <c r="F187" s="233"/>
      <c r="G187" s="405">
        <v>0.14249999999999999</v>
      </c>
      <c r="H187" s="366">
        <v>0.14249999999999999</v>
      </c>
      <c r="I187" s="473">
        <f>I88*263</f>
        <v>757.43999999999994</v>
      </c>
      <c r="J187" s="310"/>
      <c r="K187" s="311" t="s">
        <v>229</v>
      </c>
      <c r="L187" s="252"/>
    </row>
    <row r="188" spans="1:18" hidden="1" x14ac:dyDescent="0.15">
      <c r="B188" s="247" t="s">
        <v>230</v>
      </c>
      <c r="C188" s="248"/>
      <c r="D188" s="232"/>
      <c r="E188" s="232"/>
      <c r="F188" s="244"/>
      <c r="G188" s="363"/>
      <c r="H188" s="363"/>
      <c r="I188" s="473"/>
      <c r="J188" s="310"/>
      <c r="K188" s="259"/>
      <c r="L188" s="236"/>
    </row>
    <row r="189" spans="1:18" ht="30" hidden="1" x14ac:dyDescent="0.15">
      <c r="A189" s="236">
        <v>56</v>
      </c>
      <c r="B189" s="244" t="s">
        <v>34</v>
      </c>
      <c r="C189" s="245" t="s">
        <v>231</v>
      </c>
      <c r="D189" s="230"/>
      <c r="E189" s="230"/>
      <c r="F189" s="244"/>
      <c r="G189" s="187" t="s">
        <v>571</v>
      </c>
      <c r="H189" s="186"/>
      <c r="I189" s="473"/>
      <c r="J189" s="310"/>
      <c r="K189" s="326" t="s">
        <v>232</v>
      </c>
    </row>
    <row r="190" spans="1:18" ht="15" hidden="1" x14ac:dyDescent="0.15">
      <c r="A190" s="236">
        <v>57</v>
      </c>
      <c r="B190" s="244" t="s">
        <v>34</v>
      </c>
      <c r="C190" s="245" t="s">
        <v>233</v>
      </c>
      <c r="D190" s="230"/>
      <c r="E190" s="230"/>
      <c r="F190" s="244"/>
      <c r="G190" s="187"/>
      <c r="H190" s="186"/>
      <c r="I190" s="473"/>
      <c r="J190" s="310"/>
      <c r="K190" s="326"/>
    </row>
    <row r="191" spans="1:18" ht="75" hidden="1" x14ac:dyDescent="0.15">
      <c r="B191" s="251"/>
      <c r="C191" s="250" t="s">
        <v>234</v>
      </c>
      <c r="D191" s="246" t="s">
        <v>235</v>
      </c>
      <c r="E191" s="244" t="s">
        <v>236</v>
      </c>
      <c r="F191" s="233"/>
      <c r="G191" s="360"/>
      <c r="H191" s="228"/>
      <c r="I191" s="473"/>
      <c r="J191" s="310"/>
      <c r="K191" s="312" t="s">
        <v>237</v>
      </c>
      <c r="L191" s="236"/>
    </row>
    <row r="192" spans="1:18" outlineLevel="1" x14ac:dyDescent="0.15">
      <c r="B192" s="267"/>
      <c r="C192" s="332"/>
      <c r="D192" s="332"/>
      <c r="E192" s="332"/>
      <c r="G192" s="235"/>
      <c r="H192" s="282"/>
      <c r="I192" s="286"/>
      <c r="J192" s="286"/>
      <c r="K192" s="267"/>
      <c r="L192" s="267"/>
      <c r="M192" s="235"/>
      <c r="N192" s="235"/>
      <c r="O192" s="235"/>
      <c r="P192" s="235"/>
      <c r="Q192" s="282"/>
      <c r="R192" s="286"/>
    </row>
    <row r="193" spans="2:18" ht="19.25" customHeight="1" outlineLevel="1" x14ac:dyDescent="0.15">
      <c r="B193" s="267"/>
      <c r="C193" s="344" t="s">
        <v>238</v>
      </c>
      <c r="D193" s="316"/>
      <c r="E193" s="343"/>
      <c r="F193" s="342"/>
      <c r="G193" s="511">
        <v>0.22</v>
      </c>
      <c r="H193" s="511"/>
      <c r="I193" s="354" t="s">
        <v>239</v>
      </c>
      <c r="K193" s="267"/>
      <c r="L193" s="267"/>
      <c r="M193" s="235"/>
      <c r="N193" s="235"/>
      <c r="O193" s="235"/>
      <c r="P193" s="235"/>
      <c r="Q193" s="282"/>
      <c r="R193" s="286"/>
    </row>
    <row r="194" spans="2:18" ht="19.25" customHeight="1" outlineLevel="1" x14ac:dyDescent="0.15">
      <c r="B194" s="267"/>
      <c r="C194" s="344" t="s">
        <v>240</v>
      </c>
      <c r="D194" s="316"/>
      <c r="E194" s="241" t="s">
        <v>236</v>
      </c>
      <c r="F194" s="342"/>
      <c r="G194" s="512">
        <f>(G195*0.2+'Экономический эффект'!G12*G193)*3</f>
        <v>5100318.7158578131</v>
      </c>
      <c r="H194" s="513"/>
      <c r="I194" s="355" t="s">
        <v>241</v>
      </c>
      <c r="K194" s="267"/>
      <c r="L194" s="267"/>
      <c r="M194" s="235"/>
      <c r="N194" s="235"/>
      <c r="O194" s="235"/>
      <c r="P194" s="235"/>
      <c r="Q194" s="282"/>
      <c r="R194" s="286"/>
    </row>
    <row r="195" spans="2:18" ht="18.5" customHeight="1" outlineLevel="1" x14ac:dyDescent="0.15">
      <c r="B195" s="267"/>
      <c r="C195" s="315" t="s">
        <v>242</v>
      </c>
      <c r="E195" s="316" t="s">
        <v>236</v>
      </c>
      <c r="G195" s="506">
        <f>'Экономический эффект'!G9</f>
        <v>4047871.9967125505</v>
      </c>
      <c r="H195" s="507"/>
      <c r="I195" s="355" t="s">
        <v>243</v>
      </c>
      <c r="K195" s="267"/>
      <c r="L195" s="267"/>
      <c r="M195" s="235"/>
      <c r="N195" s="235"/>
      <c r="O195" s="235"/>
      <c r="P195" s="235"/>
      <c r="Q195" s="282"/>
      <c r="R195" s="286"/>
    </row>
    <row r="196" spans="2:18" ht="18.5" customHeight="1" outlineLevel="1" x14ac:dyDescent="0.15">
      <c r="B196" s="267"/>
      <c r="C196" s="315" t="s">
        <v>244</v>
      </c>
      <c r="D196" s="236"/>
      <c r="E196" s="316" t="s">
        <v>236</v>
      </c>
      <c r="F196" s="236"/>
      <c r="G196" s="506">
        <f>'Экономический эффект'!G10</f>
        <v>1598390.4807532313</v>
      </c>
      <c r="H196" s="507"/>
      <c r="I196" s="286"/>
      <c r="J196" s="286"/>
      <c r="K196" s="267"/>
      <c r="L196" s="267"/>
      <c r="M196" s="235"/>
      <c r="N196" s="235"/>
      <c r="O196" s="235"/>
      <c r="P196" s="235"/>
      <c r="Q196" s="282"/>
      <c r="R196" s="286"/>
    </row>
    <row r="197" spans="2:18" ht="18.5" customHeight="1" outlineLevel="1" x14ac:dyDescent="0.15">
      <c r="B197" s="267"/>
      <c r="C197" s="315" t="s">
        <v>245</v>
      </c>
      <c r="E197" s="316" t="s">
        <v>236</v>
      </c>
      <c r="G197" s="508">
        <f>'Экономический эффект'!G11</f>
        <v>0</v>
      </c>
      <c r="H197" s="508"/>
      <c r="I197" s="286"/>
      <c r="J197" s="286"/>
      <c r="K197" s="267"/>
      <c r="L197" s="267"/>
      <c r="M197" s="235"/>
      <c r="N197" s="235"/>
      <c r="O197" s="235"/>
      <c r="P197" s="235"/>
      <c r="Q197" s="282"/>
      <c r="R197" s="286"/>
    </row>
    <row r="198" spans="2:18" outlineLevel="1" x14ac:dyDescent="0.15">
      <c r="B198" s="267"/>
      <c r="C198" s="332"/>
      <c r="D198" s="332"/>
      <c r="E198" s="332"/>
      <c r="G198" s="235"/>
      <c r="H198" s="282"/>
      <c r="I198" s="286"/>
      <c r="J198" s="286"/>
      <c r="K198" s="267"/>
      <c r="L198" s="267"/>
      <c r="M198" s="235"/>
      <c r="N198" s="235"/>
      <c r="O198" s="235"/>
      <c r="P198" s="235"/>
      <c r="Q198" s="282"/>
      <c r="R198" s="286"/>
    </row>
    <row r="199" spans="2:18" ht="14" customHeight="1" outlineLevel="1" x14ac:dyDescent="0.15">
      <c r="B199" s="267"/>
      <c r="C199" s="401" t="s">
        <v>246</v>
      </c>
      <c r="D199" s="332"/>
      <c r="E199" s="332"/>
      <c r="G199" s="401"/>
      <c r="H199" s="282"/>
      <c r="I199" s="286"/>
      <c r="J199" s="286"/>
      <c r="K199" s="267"/>
      <c r="L199" s="267"/>
      <c r="M199" s="235"/>
      <c r="N199" s="235"/>
      <c r="O199" s="235"/>
      <c r="P199" s="235"/>
      <c r="Q199" s="282"/>
      <c r="R199" s="286"/>
    </row>
    <row r="200" spans="2:18" ht="37.25" customHeight="1" outlineLevel="1" x14ac:dyDescent="0.2">
      <c r="B200" s="267"/>
      <c r="C200" s="403" t="s">
        <v>247</v>
      </c>
      <c r="D200" s="333"/>
      <c r="E200" s="519" t="s">
        <v>248</v>
      </c>
      <c r="F200" s="520"/>
      <c r="G200" s="519"/>
      <c r="H200" s="519"/>
      <c r="I200" s="286"/>
      <c r="J200" s="286"/>
      <c r="K200" s="267"/>
      <c r="L200" s="267"/>
      <c r="M200" s="235"/>
      <c r="N200" s="235"/>
      <c r="O200" s="235"/>
      <c r="P200" s="235"/>
      <c r="Q200" s="282"/>
      <c r="R200" s="286"/>
    </row>
    <row r="201" spans="2:18" ht="18" outlineLevel="1" x14ac:dyDescent="0.15">
      <c r="B201" s="267"/>
      <c r="C201" s="402" t="s">
        <v>249</v>
      </c>
      <c r="D201" s="333"/>
      <c r="E201" s="519"/>
      <c r="F201" s="520"/>
      <c r="G201" s="519"/>
      <c r="H201" s="519"/>
      <c r="I201" s="286"/>
      <c r="J201" s="286"/>
      <c r="K201" s="267"/>
      <c r="L201" s="267"/>
      <c r="M201" s="235"/>
      <c r="N201" s="235"/>
      <c r="O201" s="235"/>
      <c r="P201" s="235"/>
      <c r="Q201" s="282"/>
      <c r="R201" s="286"/>
    </row>
    <row r="202" spans="2:18" ht="33" customHeight="1" outlineLevel="1" x14ac:dyDescent="0.15">
      <c r="B202" s="267"/>
      <c r="C202" s="404" t="s">
        <v>250</v>
      </c>
      <c r="D202" s="333"/>
      <c r="E202" s="519"/>
      <c r="F202" s="520"/>
      <c r="G202" s="519"/>
      <c r="H202" s="519"/>
      <c r="I202" s="286"/>
      <c r="J202" s="286"/>
      <c r="K202" s="267"/>
      <c r="L202" s="267"/>
      <c r="M202" s="235"/>
      <c r="N202" s="235"/>
      <c r="O202" s="235"/>
      <c r="P202" s="235"/>
      <c r="Q202" s="282"/>
      <c r="R202" s="286"/>
    </row>
    <row r="203" spans="2:18" outlineLevel="1" x14ac:dyDescent="0.15">
      <c r="B203" s="267"/>
      <c r="C203" s="267"/>
      <c r="G203" s="235"/>
      <c r="H203" s="282"/>
      <c r="I203" s="286"/>
      <c r="J203" s="286"/>
      <c r="K203" s="267"/>
      <c r="L203" s="267"/>
      <c r="M203" s="235"/>
      <c r="N203" s="235"/>
      <c r="O203" s="235"/>
      <c r="P203" s="235"/>
      <c r="Q203" s="282"/>
      <c r="R203" s="286"/>
    </row>
    <row r="204" spans="2:18" x14ac:dyDescent="0.15">
      <c r="B204" s="267"/>
      <c r="C204" s="267"/>
      <c r="G204" s="235"/>
      <c r="H204" s="235"/>
      <c r="I204" s="282"/>
      <c r="J204" s="282"/>
    </row>
  </sheetData>
  <sheetProtection algorithmName="SHA-512" hashValue="hUU1EFAdvhI+Y1zpl8kY3y/RN3WT8dYAsu6G1+TqoFRsXWwJG2ohh0zT8kZxe2immuG1vhVs76t2QV6Y9YOSQw==" saltValue="lFd/O1o8Kl1gSCPKR8XWCg==" spinCount="100000" sheet="1" objects="1" scenarios="1" formatRows="0"/>
  <protectedRanges>
    <protectedRange sqref="C199" name="Range1"/>
  </protectedRanges>
  <autoFilter ref="A16:K192" xr:uid="{A5A8AE2B-3823-4809-9AA2-5B9A00DDD915}">
    <filterColumn colId="5">
      <colorFilter dxfId="837"/>
    </filterColumn>
  </autoFilter>
  <mergeCells count="20">
    <mergeCell ref="I10:J10"/>
    <mergeCell ref="I11:J11"/>
    <mergeCell ref="I12:J12"/>
    <mergeCell ref="E200:H202"/>
    <mergeCell ref="E6:H6"/>
    <mergeCell ref="E9:H9"/>
    <mergeCell ref="I9:J9"/>
    <mergeCell ref="B4:H4"/>
    <mergeCell ref="G195:H195"/>
    <mergeCell ref="G197:H197"/>
    <mergeCell ref="D13:E13"/>
    <mergeCell ref="E5:H5"/>
    <mergeCell ref="E7:H7"/>
    <mergeCell ref="E10:H10"/>
    <mergeCell ref="G196:H196"/>
    <mergeCell ref="G193:H193"/>
    <mergeCell ref="G194:H194"/>
    <mergeCell ref="E11:H11"/>
    <mergeCell ref="E12:H12"/>
    <mergeCell ref="E8:H8"/>
  </mergeCells>
  <conditionalFormatting sqref="H32">
    <cfRule type="expression" dxfId="836" priority="775">
      <formula>$G$30="нет"</formula>
    </cfRule>
  </conditionalFormatting>
  <conditionalFormatting sqref="H36">
    <cfRule type="expression" dxfId="835" priority="773">
      <formula>$G$34="нет"</formula>
    </cfRule>
  </conditionalFormatting>
  <conditionalFormatting sqref="H92">
    <cfRule type="expression" dxfId="834" priority="769">
      <formula>$G$90="нет"</formula>
    </cfRule>
  </conditionalFormatting>
  <conditionalFormatting sqref="B146:D147 F146:H147">
    <cfRule type="expression" dxfId="833" priority="768">
      <formula>OR($G$145="",$G$145="нет")</formula>
    </cfRule>
  </conditionalFormatting>
  <conditionalFormatting sqref="B148:D148 F148:H148">
    <cfRule type="expression" dxfId="832" priority="767">
      <formula>$G$145=""</formula>
    </cfRule>
  </conditionalFormatting>
  <conditionalFormatting sqref="B149:D160 F149:H160">
    <cfRule type="expression" dxfId="831" priority="766">
      <formula>$G$148="нет"</formula>
    </cfRule>
  </conditionalFormatting>
  <conditionalFormatting sqref="B161:D161 F161:H161">
    <cfRule type="expression" dxfId="830" priority="765">
      <formula>IF($G$148="да",$G$158="",$G$148="")</formula>
    </cfRule>
  </conditionalFormatting>
  <conditionalFormatting sqref="B149:D149 F149:H149">
    <cfRule type="expression" dxfId="829" priority="764">
      <formula>OR($G$148="",$G$148="нет")</formula>
    </cfRule>
  </conditionalFormatting>
  <conditionalFormatting sqref="B150:D151 F150:H151">
    <cfRule type="expression" dxfId="828" priority="763">
      <formula>OR($G$149="нет",$G$149="")</formula>
    </cfRule>
  </conditionalFormatting>
  <conditionalFormatting sqref="B152:D152 F152:H152">
    <cfRule type="expression" dxfId="827" priority="762">
      <formula>$G$149=""</formula>
    </cfRule>
  </conditionalFormatting>
  <conditionalFormatting sqref="B153:D154 F153:H154">
    <cfRule type="expression" dxfId="826" priority="761">
      <formula>OR($G$152="",$G$152="нет")</formula>
    </cfRule>
  </conditionalFormatting>
  <conditionalFormatting sqref="B155:D155 F155:H155">
    <cfRule type="expression" dxfId="825" priority="760">
      <formula>$G$152=""</formula>
    </cfRule>
  </conditionalFormatting>
  <conditionalFormatting sqref="B156:D157 F156:H157">
    <cfRule type="expression" dxfId="824" priority="759">
      <formula>OR($G$155="",$G$155="нет")</formula>
    </cfRule>
  </conditionalFormatting>
  <conditionalFormatting sqref="B158:D158 F158:H158">
    <cfRule type="expression" dxfId="823" priority="758">
      <formula>$G$155=""</formula>
    </cfRule>
  </conditionalFormatting>
  <conditionalFormatting sqref="B159:D160 F159:H160">
    <cfRule type="expression" dxfId="822" priority="757">
      <formula>OR($G$158="нет",$G$158="")</formula>
    </cfRule>
  </conditionalFormatting>
  <conditionalFormatting sqref="B162:D162 F162:H162">
    <cfRule type="expression" dxfId="821" priority="756">
      <formula>OR($G$161="",$G$161="нет")</formula>
    </cfRule>
  </conditionalFormatting>
  <conditionalFormatting sqref="B163:D164 F163:H164">
    <cfRule type="expression" dxfId="820" priority="755">
      <formula>$G$161=""</formula>
    </cfRule>
  </conditionalFormatting>
  <conditionalFormatting sqref="B165:D168 F165:H168">
    <cfRule type="expression" dxfId="819" priority="754">
      <formula>OR($G$164="",$G$164="нет")</formula>
    </cfRule>
  </conditionalFormatting>
  <conditionalFormatting sqref="B169:D169 F169:H169">
    <cfRule type="expression" dxfId="818" priority="753">
      <formula>OR($G$164="",IF($G$164="да",$G$166="",$G$164))</formula>
    </cfRule>
  </conditionalFormatting>
  <conditionalFormatting sqref="B167:D167 F167:H167">
    <cfRule type="expression" dxfId="817" priority="752">
      <formula>OR($G$166="",$G$166="да")</formula>
    </cfRule>
  </conditionalFormatting>
  <conditionalFormatting sqref="B168:D168 F168:H168">
    <cfRule type="expression" dxfId="816" priority="751">
      <formula>OR($G$166="",$G$166="нет")</formula>
    </cfRule>
  </conditionalFormatting>
  <conditionalFormatting sqref="B171:D171 F170:H171">
    <cfRule type="expression" dxfId="815" priority="750">
      <formula>OR($G$169="",$G$169="нет")</formula>
    </cfRule>
  </conditionalFormatting>
  <conditionalFormatting sqref="B172:D173 F172:H173">
    <cfRule type="expression" dxfId="814" priority="749">
      <formula>$G$169=""</formula>
    </cfRule>
  </conditionalFormatting>
  <conditionalFormatting sqref="B174:D175 F174:H175">
    <cfRule type="expression" dxfId="813" priority="748">
      <formula>OR($G$173="",$G$173="нет")</formula>
    </cfRule>
  </conditionalFormatting>
  <conditionalFormatting sqref="B176:D176 F176">
    <cfRule type="expression" dxfId="812" priority="747">
      <formula>OR($G$173="",$G$173="да")</formula>
    </cfRule>
  </conditionalFormatting>
  <conditionalFormatting sqref="B177:D177 F177:H177">
    <cfRule type="expression" dxfId="811" priority="746">
      <formula>$G$173=""</formula>
    </cfRule>
  </conditionalFormatting>
  <conditionalFormatting sqref="B178:D178 F178:H178">
    <cfRule type="expression" dxfId="810" priority="745">
      <formula>$G$177=""</formula>
    </cfRule>
  </conditionalFormatting>
  <conditionalFormatting sqref="B178:D181 F178:H181">
    <cfRule type="expression" dxfId="809" priority="744">
      <formula>$G$177="нет"</formula>
    </cfRule>
  </conditionalFormatting>
  <conditionalFormatting sqref="B179:D181 F179:H181">
    <cfRule type="expression" dxfId="808" priority="740">
      <formula>$G$178=""</formula>
    </cfRule>
    <cfRule type="expression" dxfId="807" priority="743">
      <formula>$G$177=""</formula>
    </cfRule>
  </conditionalFormatting>
  <conditionalFormatting sqref="B179:D180 F179:H180">
    <cfRule type="expression" dxfId="806" priority="742">
      <formula>$G$178="нет"</formula>
    </cfRule>
  </conditionalFormatting>
  <conditionalFormatting sqref="B181:D181 F181:H181">
    <cfRule type="expression" dxfId="805" priority="741">
      <formula>$G$178="да"</formula>
    </cfRule>
  </conditionalFormatting>
  <conditionalFormatting sqref="B186:D187 F186:H189">
    <cfRule type="expression" dxfId="804" priority="739">
      <formula>$G$182=""</formula>
    </cfRule>
  </conditionalFormatting>
  <conditionalFormatting sqref="B186:D186 F186:H186">
    <cfRule type="expression" dxfId="803" priority="737">
      <formula>$G$182="нет"</formula>
    </cfRule>
  </conditionalFormatting>
  <conditionalFormatting sqref="B186:D186 F186:H186">
    <cfRule type="expression" dxfId="802" priority="736">
      <formula>$G$71="да"</formula>
    </cfRule>
  </conditionalFormatting>
  <conditionalFormatting sqref="B188:D189">
    <cfRule type="expression" dxfId="801" priority="734">
      <formula>$G$182=""</formula>
    </cfRule>
  </conditionalFormatting>
  <conditionalFormatting sqref="B190:D191 F190:H191">
    <cfRule type="expression" dxfId="800" priority="733">
      <formula>OR($G$189="",$G$189="нет")</formula>
    </cfRule>
  </conditionalFormatting>
  <conditionalFormatting sqref="F66:H69 B66:D69 B73:D73 B122:D122 B90:K121 B78:K88 B123:K143 B71:K72">
    <cfRule type="expression" dxfId="799" priority="732">
      <formula>OR($G$17="нет",$G$17="")</formula>
    </cfRule>
  </conditionalFormatting>
  <conditionalFormatting sqref="B18:D20 E23:E24 E26:H53 B23:D54 F18:H24 B55:K65 I23:K53">
    <cfRule type="expression" dxfId="798" priority="731">
      <formula>OR($G$17="",$G$17="да")</formula>
    </cfRule>
  </conditionalFormatting>
  <conditionalFormatting sqref="F182:H182 B182:D182">
    <cfRule type="expression" dxfId="797" priority="730">
      <formula>OR($G$177="",IF($G$177="да",$G$178="",$G$177="да"))</formula>
    </cfRule>
  </conditionalFormatting>
  <conditionalFormatting sqref="B20:D20 F20:H22">
    <cfRule type="expression" dxfId="796" priority="729">
      <formula>OR($G$19="",$G$19="нет")</formula>
    </cfRule>
  </conditionalFormatting>
  <conditionalFormatting sqref="B23:D23 F23:H23">
    <cfRule type="expression" dxfId="795" priority="728">
      <formula>$G$19=""</formula>
    </cfRule>
  </conditionalFormatting>
  <conditionalFormatting sqref="B24:D28 F24:H24 E26:H28">
    <cfRule type="expression" dxfId="794" priority="727">
      <formula>OR($G$23="",$G$23="нет")</formula>
    </cfRule>
  </conditionalFormatting>
  <conditionalFormatting sqref="B29:D29 F29:H29">
    <cfRule type="expression" dxfId="793" priority="726">
      <formula>OR($G$28="",$G$28="нет")</formula>
    </cfRule>
  </conditionalFormatting>
  <conditionalFormatting sqref="B30:D30 F30:H32">
    <cfRule type="expression" dxfId="792" priority="725">
      <formula>OR($G$29="",$G$29="нет")</formula>
    </cfRule>
  </conditionalFormatting>
  <conditionalFormatting sqref="B31:D32">
    <cfRule type="expression" dxfId="791" priority="724">
      <formula>OR($G$29="",$G$29="нет")</formula>
    </cfRule>
  </conditionalFormatting>
  <conditionalFormatting sqref="B33:D33 F33:H33">
    <cfRule type="expression" dxfId="790" priority="721">
      <formula>IF($G$28="да",$G$29="",$G$28="да")</formula>
    </cfRule>
    <cfRule type="expression" dxfId="789" priority="723">
      <formula>$G$28=""</formula>
    </cfRule>
  </conditionalFormatting>
  <conditionalFormatting sqref="B34:D36 F34:H36">
    <cfRule type="expression" dxfId="788" priority="719">
      <formula>OR($G$33="",$G$33="нет")</formula>
    </cfRule>
  </conditionalFormatting>
  <conditionalFormatting sqref="B37:D37 F37:H37">
    <cfRule type="expression" dxfId="787" priority="718">
      <formula>OR($G$33="",IF($G$33="да",$G$34="",$G$33="да"))</formula>
    </cfRule>
  </conditionalFormatting>
  <conditionalFormatting sqref="B38:D49 F38:H49">
    <cfRule type="expression" dxfId="786" priority="717">
      <formula>OR($G$37="",$G$37="нет")</formula>
    </cfRule>
  </conditionalFormatting>
  <conditionalFormatting sqref="B39:D40 F39:H40">
    <cfRule type="expression" dxfId="785" priority="716">
      <formula>OR($G$38="",$G$38="нет")</formula>
    </cfRule>
  </conditionalFormatting>
  <conditionalFormatting sqref="B41:D41 F41:H41">
    <cfRule type="expression" dxfId="784" priority="715">
      <formula>$G$38=""</formula>
    </cfRule>
  </conditionalFormatting>
  <conditionalFormatting sqref="B42:D43 F42:H43">
    <cfRule type="expression" dxfId="783" priority="714">
      <formula>OR($G$41="",$G$41="нет")</formula>
    </cfRule>
  </conditionalFormatting>
  <conditionalFormatting sqref="B44:D44 F44:H44">
    <cfRule type="expression" dxfId="782" priority="713">
      <formula>$G$41=""</formula>
    </cfRule>
  </conditionalFormatting>
  <conditionalFormatting sqref="B45:D46 F45:H46">
    <cfRule type="expression" dxfId="781" priority="712">
      <formula>OR($G$44="",$G$44="нет")</formula>
    </cfRule>
  </conditionalFormatting>
  <conditionalFormatting sqref="B47:D47 F47:H47">
    <cfRule type="expression" dxfId="780" priority="711">
      <formula>$G$44=""</formula>
    </cfRule>
  </conditionalFormatting>
  <conditionalFormatting sqref="B48:D49 F48:H49">
    <cfRule type="expression" dxfId="779" priority="710">
      <formula>OR($G$47="",$G$47="нет")</formula>
    </cfRule>
  </conditionalFormatting>
  <conditionalFormatting sqref="F50:H53 B50:D54 B55:K65">
    <cfRule type="expression" dxfId="778" priority="709">
      <formula>OR($G$23="",$G$23="да")</formula>
    </cfRule>
  </conditionalFormatting>
  <conditionalFormatting sqref="B52:D53 F52:H53 B56:K57">
    <cfRule type="expression" dxfId="777" priority="708">
      <formula>OR($G$51="",$G$51="нет")</formula>
    </cfRule>
  </conditionalFormatting>
  <conditionalFormatting sqref="B58:D58 F58:H58">
    <cfRule type="expression" dxfId="776" priority="704">
      <formula>IF($G$51="да",$G$52="",$G$51="да")</formula>
    </cfRule>
    <cfRule type="expression" dxfId="775" priority="707">
      <formula>$G$51=""</formula>
    </cfRule>
  </conditionalFormatting>
  <conditionalFormatting sqref="B53:D53 F53:H53 B56:K57">
    <cfRule type="expression" dxfId="774" priority="706">
      <formula>OR($G$52="",$G$52="нет")</formula>
    </cfRule>
  </conditionalFormatting>
  <conditionalFormatting sqref="B59:D61 F59:H61">
    <cfRule type="expression" dxfId="773" priority="703">
      <formula>OR($G$58="",$G$58="нет")</formula>
    </cfRule>
  </conditionalFormatting>
  <conditionalFormatting sqref="B61:D61 F61:H61">
    <cfRule type="expression" dxfId="772" priority="701">
      <formula>OR($G$60="",$G$60="нет")</formula>
    </cfRule>
  </conditionalFormatting>
  <conditionalFormatting sqref="B62:D62 F62:H62">
    <cfRule type="expression" dxfId="771" priority="700">
      <formula>OR($G$58="",IF($G$58="да",$G$60="",$G$58="да"))</formula>
    </cfRule>
  </conditionalFormatting>
  <conditionalFormatting sqref="B63:D65 F63:H65">
    <cfRule type="expression" dxfId="770" priority="699">
      <formula>OR($G$62="",$G$62="нет")</formula>
    </cfRule>
  </conditionalFormatting>
  <conditionalFormatting sqref="B65:D65 F65:H65">
    <cfRule type="expression" dxfId="769" priority="698">
      <formula>OR($G$64="",$G$64="нет")</formula>
    </cfRule>
  </conditionalFormatting>
  <conditionalFormatting sqref="F68:H69 B68:D69 B73:D73 B90:K115 B78:K88 B71:K72">
    <cfRule type="expression" dxfId="768" priority="697">
      <formula>OR($G$67="",$G$67="нет")</formula>
    </cfRule>
  </conditionalFormatting>
  <conditionalFormatting sqref="B116:D121 F116:H122 B123:K143">
    <cfRule type="expression" dxfId="767" priority="694">
      <formula>OR($G$67="",$G$67="да")</formula>
    </cfRule>
  </conditionalFormatting>
  <conditionalFormatting sqref="B71:D72 F71:H72 B78:K83">
    <cfRule type="expression" dxfId="766" priority="691">
      <formula>OR($G$69="",AND($G$69="нет",$G$70="нет"),AND($G$69="нет",$G$70=""))</formula>
    </cfRule>
  </conditionalFormatting>
  <conditionalFormatting sqref="B111:D115 F111:H115 F72:H72">
    <cfRule type="expression" dxfId="765" priority="689">
      <formula>OR($G$71="",$G$71="да")</formula>
    </cfRule>
  </conditionalFormatting>
  <conditionalFormatting sqref="B78:D80 F78:H80">
    <cfRule type="expression" dxfId="764" priority="687">
      <formula>$G$76=""</formula>
    </cfRule>
  </conditionalFormatting>
  <conditionalFormatting sqref="B78:D80 F78:H80">
    <cfRule type="expression" dxfId="763" priority="686">
      <formula>$G$76="нет"</formula>
    </cfRule>
  </conditionalFormatting>
  <conditionalFormatting sqref="B90:D92 F90:H92">
    <cfRule type="expression" dxfId="762" priority="685">
      <formula>OR($G$89="",$G$89="нет")</formula>
    </cfRule>
  </conditionalFormatting>
  <conditionalFormatting sqref="B93:D93 F93:H93">
    <cfRule type="expression" dxfId="761" priority="684">
      <formula>OR($G$89="",AND($G$89="да",$G$90=""))</formula>
    </cfRule>
  </conditionalFormatting>
  <conditionalFormatting sqref="F94:H105 B94:D105">
    <cfRule type="expression" dxfId="760" priority="683">
      <formula>OR($G$93="",$G$93="нет")</formula>
    </cfRule>
  </conditionalFormatting>
  <conditionalFormatting sqref="B106:D106 F106:H106">
    <cfRule type="expression" dxfId="759" priority="682">
      <formula>OR($G$93="",AND($G$93="да",$G$103=""))</formula>
    </cfRule>
  </conditionalFormatting>
  <conditionalFormatting sqref="B95:D96 F95:H96">
    <cfRule type="expression" dxfId="758" priority="681">
      <formula>OR($G$94="",$G$94="нет")</formula>
    </cfRule>
  </conditionalFormatting>
  <conditionalFormatting sqref="B97:D97 F97:H97">
    <cfRule type="expression" dxfId="757" priority="680">
      <formula>$G$94=""</formula>
    </cfRule>
  </conditionalFormatting>
  <conditionalFormatting sqref="B98:D99 F98:H99">
    <cfRule type="expression" dxfId="756" priority="679">
      <formula>OR($G$97="",$G$97="нет")</formula>
    </cfRule>
  </conditionalFormatting>
  <conditionalFormatting sqref="B100:D100 F100:H100">
    <cfRule type="expression" dxfId="755" priority="678">
      <formula>$G$97=""</formula>
    </cfRule>
  </conditionalFormatting>
  <conditionalFormatting sqref="B101:D102 F101:H102">
    <cfRule type="expression" dxfId="754" priority="677">
      <formula>OR($G$100="",$G$100="нет")</formula>
    </cfRule>
  </conditionalFormatting>
  <conditionalFormatting sqref="B103:D103 F103:H103">
    <cfRule type="expression" dxfId="753" priority="676">
      <formula>$G$100=""</formula>
    </cfRule>
  </conditionalFormatting>
  <conditionalFormatting sqref="B104:D105 F104:H105">
    <cfRule type="expression" dxfId="752" priority="675">
      <formula>OR($G$103="",$G$103="нет")</formula>
    </cfRule>
  </conditionalFormatting>
  <conditionalFormatting sqref="B107:D110 F107:H110">
    <cfRule type="expression" dxfId="751" priority="674">
      <formula>OR($G$106="",$G$106="нет")</formula>
    </cfRule>
  </conditionalFormatting>
  <conditionalFormatting sqref="B108:D110 F108:H110">
    <cfRule type="expression" dxfId="750" priority="673">
      <formula>OR($G$107="",$G$107="нет")</formula>
    </cfRule>
  </conditionalFormatting>
  <conditionalFormatting sqref="B72:D72">
    <cfRule type="expression" dxfId="749" priority="672">
      <formula>OR($G$71="",$G$71="да")</formula>
    </cfRule>
  </conditionalFormatting>
  <conditionalFormatting sqref="B111:D112 F111:H112">
    <cfRule type="expression" dxfId="748" priority="669">
      <formula>AND($G$107="да",$G$108="")</formula>
    </cfRule>
    <cfRule type="expression" dxfId="747" priority="670">
      <formula>AND($G$106="да",$G$107="")</formula>
    </cfRule>
    <cfRule type="expression" dxfId="746" priority="671">
      <formula>$G$106=""</formula>
    </cfRule>
  </conditionalFormatting>
  <conditionalFormatting sqref="B113:D115 F113:H115">
    <cfRule type="expression" dxfId="745" priority="668">
      <formula>OR($G$112="",$G$112="нет")</formula>
    </cfRule>
  </conditionalFormatting>
  <conditionalFormatting sqref="B144:D144 F144:H144">
    <cfRule type="expression" dxfId="744" priority="626">
      <formula>$G$17=""</formula>
    </cfRule>
    <cfRule type="expression" dxfId="743" priority="627">
      <formula>AND($G$17="нет",$G$23="")</formula>
    </cfRule>
    <cfRule type="expression" dxfId="742" priority="628">
      <formula>AND($G$62="да",$G$64="")</formula>
    </cfRule>
    <cfRule type="expression" dxfId="741" priority="629">
      <formula>AND($G$23="нет",$G$62="")</formula>
    </cfRule>
    <cfRule type="expression" dxfId="740" priority="630">
      <formula>AND($G$23="да",$G$37="")</formula>
    </cfRule>
    <cfRule type="expression" dxfId="739" priority="631">
      <formula>AND($G$37="да",$G$47="")</formula>
    </cfRule>
    <cfRule type="expression" dxfId="738" priority="633">
      <formula>AND($G$17="да",$G$67="")</formula>
    </cfRule>
    <cfRule type="expression" dxfId="737" priority="646">
      <formula>AND($G$129="да",$G$140="")</formula>
    </cfRule>
    <cfRule type="expression" dxfId="736" priority="647">
      <formula>AND($G$129="да",$G$140="да",$G$142="")</formula>
    </cfRule>
    <cfRule type="expression" dxfId="735" priority="651">
      <formula>AND($G$67="нет",$G$129="")</formula>
    </cfRule>
    <cfRule type="expression" dxfId="734" priority="662">
      <formula>AND($G$107="да",$G$108="")</formula>
    </cfRule>
    <cfRule type="expression" dxfId="733" priority="665">
      <formula>AND($G$106="да",$G$107="")</formula>
    </cfRule>
    <cfRule type="expression" dxfId="732" priority="666">
      <formula>AND($G$71="да",$G$106="")</formula>
    </cfRule>
    <cfRule type="expression" dxfId="731" priority="667">
      <formula>AND($G$71="нет",$G$112="")</formula>
    </cfRule>
  </conditionalFormatting>
  <conditionalFormatting sqref="B118:D121 F118:H122 B123:K127">
    <cfRule type="expression" dxfId="730" priority="661">
      <formula>$G$117=""</formula>
    </cfRule>
  </conditionalFormatting>
  <conditionalFormatting sqref="B119:D121 F119:H122 B123:K127">
    <cfRule type="expression" dxfId="729" priority="660">
      <formula>OR(AND($G$117="нет",$G$118=""),AND($G$117="нет",$G$118="нет"))</formula>
    </cfRule>
  </conditionalFormatting>
  <conditionalFormatting sqref="B128:D129 F128:H129">
    <cfRule type="expression" dxfId="728" priority="632">
      <formula>$G$117=""</formula>
    </cfRule>
    <cfRule type="expression" dxfId="727" priority="659">
      <formula>AND($G$117="нет",$G$118="")</formula>
    </cfRule>
  </conditionalFormatting>
  <conditionalFormatting sqref="B118:D118 F118:H118">
    <cfRule type="expression" dxfId="726" priority="655">
      <formula>$G$117="да"</formula>
    </cfRule>
  </conditionalFormatting>
  <conditionalFormatting sqref="B123:D125 F123:H125">
    <cfRule type="expression" dxfId="725" priority="654">
      <formula>OR($G$121="",$G$121="нет")</formula>
    </cfRule>
  </conditionalFormatting>
  <conditionalFormatting sqref="B130:D143 F130:H143">
    <cfRule type="expression" dxfId="724" priority="653">
      <formula>OR($G$129="",$G$129="нет")</formula>
    </cfRule>
  </conditionalFormatting>
  <conditionalFormatting sqref="B131:D135 F131:H135">
    <cfRule type="expression" dxfId="723" priority="645">
      <formula>OR($G$130="",$G$130="нет")</formula>
    </cfRule>
  </conditionalFormatting>
  <conditionalFormatting sqref="B132:D135 F132:H135">
    <cfRule type="expression" dxfId="722" priority="644">
      <formula>OR($G$131="",$G$131="нет")</formula>
    </cfRule>
  </conditionalFormatting>
  <conditionalFormatting sqref="B136:D136 F136:H136">
    <cfRule type="expression" dxfId="721" priority="641">
      <formula>AND($G$130="да",$G$131="")</formula>
    </cfRule>
    <cfRule type="expression" dxfId="720" priority="643">
      <formula>$G$130=""</formula>
    </cfRule>
  </conditionalFormatting>
  <conditionalFormatting sqref="B137:D139 F137:H139">
    <cfRule type="expression" dxfId="719" priority="640">
      <formula>OR($G$136="",$G$136="нет")</formula>
    </cfRule>
  </conditionalFormatting>
  <conditionalFormatting sqref="B139:D139 F139:H139">
    <cfRule type="expression" dxfId="718" priority="639">
      <formula>OR($G$138="",$G$138="нет")</formula>
    </cfRule>
  </conditionalFormatting>
  <conditionalFormatting sqref="B140:D140 F140:H140">
    <cfRule type="expression" dxfId="717" priority="634">
      <formula>$G$136=""</formula>
    </cfRule>
    <cfRule type="expression" dxfId="716" priority="635">
      <formula>$G$130=""</formula>
    </cfRule>
    <cfRule type="expression" dxfId="715" priority="638">
      <formula>AND($G$136="да",$G$138="")</formula>
    </cfRule>
  </conditionalFormatting>
  <conditionalFormatting sqref="B141:D143 F141:H143">
    <cfRule type="expression" dxfId="714" priority="637">
      <formula>OR($G$140="",$G$140="нет")</formula>
    </cfRule>
  </conditionalFormatting>
  <conditionalFormatting sqref="B143:D143 F143:H143">
    <cfRule type="expression" dxfId="713" priority="636">
      <formula>OR($G$142="",$G$142="нет")</formula>
    </cfRule>
  </conditionalFormatting>
  <conditionalFormatting sqref="E146:E147">
    <cfRule type="expression" dxfId="712" priority="625">
      <formula>OR($G$145="",$G$145="нет")</formula>
    </cfRule>
  </conditionalFormatting>
  <conditionalFormatting sqref="E148">
    <cfRule type="expression" dxfId="711" priority="624">
      <formula>$G$145=""</formula>
    </cfRule>
  </conditionalFormatting>
  <conditionalFormatting sqref="E149:E160">
    <cfRule type="expression" dxfId="710" priority="623">
      <formula>$G$148="нет"</formula>
    </cfRule>
  </conditionalFormatting>
  <conditionalFormatting sqref="E161">
    <cfRule type="expression" dxfId="709" priority="622">
      <formula>IF($G$148="да",$G$158="",$G$148="")</formula>
    </cfRule>
  </conditionalFormatting>
  <conditionalFormatting sqref="E149">
    <cfRule type="expression" dxfId="708" priority="621">
      <formula>OR($G$148="",$G$148="нет")</formula>
    </cfRule>
  </conditionalFormatting>
  <conditionalFormatting sqref="E150:E151">
    <cfRule type="expression" dxfId="707" priority="620">
      <formula>OR($G$149="нет",$G$149="")</formula>
    </cfRule>
  </conditionalFormatting>
  <conditionalFormatting sqref="E152">
    <cfRule type="expression" dxfId="706" priority="619">
      <formula>$G$149=""</formula>
    </cfRule>
  </conditionalFormatting>
  <conditionalFormatting sqref="E153:E154">
    <cfRule type="expression" dxfId="705" priority="618">
      <formula>OR($G$152="",$G$152="нет")</formula>
    </cfRule>
  </conditionalFormatting>
  <conditionalFormatting sqref="E155">
    <cfRule type="expression" dxfId="704" priority="617">
      <formula>$G$152=""</formula>
    </cfRule>
  </conditionalFormatting>
  <conditionalFormatting sqref="E156:E157">
    <cfRule type="expression" dxfId="703" priority="616">
      <formula>OR($G$155="",$G$155="нет")</formula>
    </cfRule>
  </conditionalFormatting>
  <conditionalFormatting sqref="E158">
    <cfRule type="expression" dxfId="702" priority="615">
      <formula>$G$155=""</formula>
    </cfRule>
  </conditionalFormatting>
  <conditionalFormatting sqref="E159:E160">
    <cfRule type="expression" dxfId="701" priority="614">
      <formula>OR($G$158="нет",$G$158="")</formula>
    </cfRule>
  </conditionalFormatting>
  <conditionalFormatting sqref="E162">
    <cfRule type="expression" dxfId="700" priority="613">
      <formula>OR($G$161="",$G$161="нет")</formula>
    </cfRule>
  </conditionalFormatting>
  <conditionalFormatting sqref="E163:E164">
    <cfRule type="expression" dxfId="699" priority="612">
      <formula>$G$161=""</formula>
    </cfRule>
  </conditionalFormatting>
  <conditionalFormatting sqref="E165:E168">
    <cfRule type="expression" dxfId="698" priority="611">
      <formula>OR($G$164="",$G$164="нет")</formula>
    </cfRule>
  </conditionalFormatting>
  <conditionalFormatting sqref="E169">
    <cfRule type="expression" dxfId="697" priority="610">
      <formula>OR($G$164="",IF($G$164="да",$G$166="",$G$164))</formula>
    </cfRule>
  </conditionalFormatting>
  <conditionalFormatting sqref="E167">
    <cfRule type="expression" dxfId="696" priority="609">
      <formula>OR($G$166="",$G$166="да")</formula>
    </cfRule>
  </conditionalFormatting>
  <conditionalFormatting sqref="E168">
    <cfRule type="expression" dxfId="695" priority="608">
      <formula>OR($G$166="",$G$166="нет")</formula>
    </cfRule>
  </conditionalFormatting>
  <conditionalFormatting sqref="E171">
    <cfRule type="expression" dxfId="694" priority="607">
      <formula>OR($G$169="",$G$169="нет")</formula>
    </cfRule>
  </conditionalFormatting>
  <conditionalFormatting sqref="E172:E173">
    <cfRule type="expression" dxfId="693" priority="606">
      <formula>$G$169=""</formula>
    </cfRule>
  </conditionalFormatting>
  <conditionalFormatting sqref="E174:E175">
    <cfRule type="expression" dxfId="692" priority="605">
      <formula>OR($G$173="",$G$173="нет")</formula>
    </cfRule>
  </conditionalFormatting>
  <conditionalFormatting sqref="E176">
    <cfRule type="expression" dxfId="691" priority="604">
      <formula>OR($G$173="",$G$173="да")</formula>
    </cfRule>
  </conditionalFormatting>
  <conditionalFormatting sqref="E177">
    <cfRule type="expression" dxfId="690" priority="603">
      <formula>$G$173=""</formula>
    </cfRule>
  </conditionalFormatting>
  <conditionalFormatting sqref="E178">
    <cfRule type="expression" dxfId="689" priority="602">
      <formula>$G$177=""</formula>
    </cfRule>
  </conditionalFormatting>
  <conditionalFormatting sqref="E178:E181">
    <cfRule type="expression" dxfId="688" priority="601">
      <formula>$G$177="нет"</formula>
    </cfRule>
  </conditionalFormatting>
  <conditionalFormatting sqref="E179:E181">
    <cfRule type="expression" dxfId="687" priority="597">
      <formula>$G$178=""</formula>
    </cfRule>
    <cfRule type="expression" dxfId="686" priority="600">
      <formula>$G$177=""</formula>
    </cfRule>
  </conditionalFormatting>
  <conditionalFormatting sqref="E179:E180">
    <cfRule type="expression" dxfId="685" priority="599">
      <formula>$G$178="нет"</formula>
    </cfRule>
  </conditionalFormatting>
  <conditionalFormatting sqref="E181">
    <cfRule type="expression" dxfId="684" priority="598">
      <formula>$G$178="да"</formula>
    </cfRule>
  </conditionalFormatting>
  <conditionalFormatting sqref="E186:E187">
    <cfRule type="expression" dxfId="683" priority="596">
      <formula>$G$182=""</formula>
    </cfRule>
  </conditionalFormatting>
  <conditionalFormatting sqref="E186">
    <cfRule type="expression" dxfId="682" priority="594">
      <formula>$G$182="нет"</formula>
    </cfRule>
  </conditionalFormatting>
  <conditionalFormatting sqref="E186">
    <cfRule type="expression" dxfId="681" priority="593">
      <formula>$G$71="да"</formula>
    </cfRule>
  </conditionalFormatting>
  <conditionalFormatting sqref="E188:E189">
    <cfRule type="expression" dxfId="680" priority="592">
      <formula>$G$182=""</formula>
    </cfRule>
  </conditionalFormatting>
  <conditionalFormatting sqref="E190:E191">
    <cfRule type="expression" dxfId="679" priority="591">
      <formula>OR($G$189="",$G$189="нет")</formula>
    </cfRule>
  </conditionalFormatting>
  <conditionalFormatting sqref="E66:E69">
    <cfRule type="expression" dxfId="678" priority="590">
      <formula>OR($G$17="нет",$G$17="")</formula>
    </cfRule>
  </conditionalFormatting>
  <conditionalFormatting sqref="E18:E20">
    <cfRule type="expression" dxfId="677" priority="589">
      <formula>OR($G$17="",$G$17="да")</formula>
    </cfRule>
  </conditionalFormatting>
  <conditionalFormatting sqref="E182">
    <cfRule type="expression" dxfId="676" priority="588">
      <formula>OR($G$177="",IF($G$177="да",$G$178="",$G$177="да"))</formula>
    </cfRule>
  </conditionalFormatting>
  <conditionalFormatting sqref="E20">
    <cfRule type="expression" dxfId="675" priority="587">
      <formula>OR($G$19="",$G$19="нет")</formula>
    </cfRule>
  </conditionalFormatting>
  <conditionalFormatting sqref="E23">
    <cfRule type="expression" dxfId="674" priority="586">
      <formula>$G$19=""</formula>
    </cfRule>
  </conditionalFormatting>
  <conditionalFormatting sqref="E24">
    <cfRule type="expression" dxfId="673" priority="585">
      <formula>OR($G$23="",$G$23="нет")</formula>
    </cfRule>
  </conditionalFormatting>
  <conditionalFormatting sqref="E29">
    <cfRule type="expression" dxfId="672" priority="584">
      <formula>OR($G$28="",$G$28="нет")</formula>
    </cfRule>
  </conditionalFormatting>
  <conditionalFormatting sqref="E30">
    <cfRule type="expression" dxfId="671" priority="583">
      <formula>OR($G$29="",$G$29="нет")</formula>
    </cfRule>
  </conditionalFormatting>
  <conditionalFormatting sqref="E31:E32">
    <cfRule type="expression" dxfId="670" priority="582">
      <formula>OR($G$29="",$G$29="нет")</formula>
    </cfRule>
  </conditionalFormatting>
  <conditionalFormatting sqref="E33">
    <cfRule type="expression" dxfId="669" priority="579">
      <formula>IF($G$28="да",$G$29="",$G$28="да")</formula>
    </cfRule>
    <cfRule type="expression" dxfId="668" priority="581">
      <formula>$G$28=""</formula>
    </cfRule>
  </conditionalFormatting>
  <conditionalFormatting sqref="E34:E36">
    <cfRule type="expression" dxfId="667" priority="578">
      <formula>OR($G$33="",$G$33="нет")</formula>
    </cfRule>
  </conditionalFormatting>
  <conditionalFormatting sqref="E37">
    <cfRule type="expression" dxfId="666" priority="577">
      <formula>OR($G$33="",IF($G$33="да",$G$34="",$G$33="да"))</formula>
    </cfRule>
  </conditionalFormatting>
  <conditionalFormatting sqref="E38:E49">
    <cfRule type="expression" dxfId="665" priority="576">
      <formula>OR($G$37="",$G$37="нет")</formula>
    </cfRule>
  </conditionalFormatting>
  <conditionalFormatting sqref="E39:E40">
    <cfRule type="expression" dxfId="664" priority="575">
      <formula>OR($G$38="",$G$38="нет")</formula>
    </cfRule>
  </conditionalFormatting>
  <conditionalFormatting sqref="E41">
    <cfRule type="expression" dxfId="663" priority="574">
      <formula>$G$38=""</formula>
    </cfRule>
  </conditionalFormatting>
  <conditionalFormatting sqref="E42:E43">
    <cfRule type="expression" dxfId="662" priority="573">
      <formula>OR($G$41="",$G$41="нет")</formula>
    </cfRule>
  </conditionalFormatting>
  <conditionalFormatting sqref="E44">
    <cfRule type="expression" dxfId="661" priority="572">
      <formula>$G$41=""</formula>
    </cfRule>
  </conditionalFormatting>
  <conditionalFormatting sqref="E45:E46">
    <cfRule type="expression" dxfId="660" priority="571">
      <formula>OR($G$44="",$G$44="нет")</formula>
    </cfRule>
  </conditionalFormatting>
  <conditionalFormatting sqref="E47">
    <cfRule type="expression" dxfId="659" priority="570">
      <formula>$G$44=""</formula>
    </cfRule>
  </conditionalFormatting>
  <conditionalFormatting sqref="E48:E49">
    <cfRule type="expression" dxfId="658" priority="569">
      <formula>OR($G$47="",$G$47="нет")</formula>
    </cfRule>
  </conditionalFormatting>
  <conditionalFormatting sqref="E50:E53">
    <cfRule type="expression" dxfId="657" priority="568">
      <formula>OR($G$23="",$G$23="да")</formula>
    </cfRule>
  </conditionalFormatting>
  <conditionalFormatting sqref="E52:E53">
    <cfRule type="expression" dxfId="656" priority="567">
      <formula>OR($G$51="",$G$51="нет")</formula>
    </cfRule>
  </conditionalFormatting>
  <conditionalFormatting sqref="E58">
    <cfRule type="expression" dxfId="655" priority="563">
      <formula>IF($G$51="да",$G$52="",$G$51="да")</formula>
    </cfRule>
    <cfRule type="expression" dxfId="654" priority="566">
      <formula>$G$51=""</formula>
    </cfRule>
  </conditionalFormatting>
  <conditionalFormatting sqref="E53">
    <cfRule type="expression" dxfId="653" priority="565">
      <formula>OR($G$52="",$G$52="нет")</formula>
    </cfRule>
  </conditionalFormatting>
  <conditionalFormatting sqref="E59:E61">
    <cfRule type="expression" dxfId="652" priority="562">
      <formula>OR($G$58="",$G$58="нет")</formula>
    </cfRule>
  </conditionalFormatting>
  <conditionalFormatting sqref="E61">
    <cfRule type="expression" dxfId="651" priority="561">
      <formula>OR($G$60="",$G$60="нет")</formula>
    </cfRule>
  </conditionalFormatting>
  <conditionalFormatting sqref="E62">
    <cfRule type="expression" dxfId="650" priority="560">
      <formula>OR($G$58="",IF($G$58="да",$G$60="",$G$58="да"))</formula>
    </cfRule>
  </conditionalFormatting>
  <conditionalFormatting sqref="E63:E65">
    <cfRule type="expression" dxfId="649" priority="559">
      <formula>OR($G$62="",$G$62="нет")</formula>
    </cfRule>
  </conditionalFormatting>
  <conditionalFormatting sqref="E65">
    <cfRule type="expression" dxfId="648" priority="558">
      <formula>OR($G$64="",$G$64="нет")</formula>
    </cfRule>
  </conditionalFormatting>
  <conditionalFormatting sqref="E68:E69">
    <cfRule type="expression" dxfId="647" priority="557">
      <formula>OR($G$67="",$G$67="нет")</formula>
    </cfRule>
  </conditionalFormatting>
  <conditionalFormatting sqref="E116:E121">
    <cfRule type="expression" dxfId="646" priority="555">
      <formula>OR($G$67="",$G$67="да")</formula>
    </cfRule>
  </conditionalFormatting>
  <conditionalFormatting sqref="E71:E72">
    <cfRule type="expression" dxfId="645" priority="552">
      <formula>OR($G$69="",AND($G$69="нет",$G$70="нет"),AND($G$69="нет",$G$70=""))</formula>
    </cfRule>
  </conditionalFormatting>
  <conditionalFormatting sqref="E111:E115">
    <cfRule type="expression" dxfId="644" priority="550">
      <formula>OR($G$71="",$G$71="да")</formula>
    </cfRule>
  </conditionalFormatting>
  <conditionalFormatting sqref="E78:E80">
    <cfRule type="expression" dxfId="643" priority="548">
      <formula>$G$76=""</formula>
    </cfRule>
  </conditionalFormatting>
  <conditionalFormatting sqref="E78:E80">
    <cfRule type="expression" dxfId="642" priority="547">
      <formula>$G$76="нет"</formula>
    </cfRule>
  </conditionalFormatting>
  <conditionalFormatting sqref="E90:E92">
    <cfRule type="expression" dxfId="641" priority="546">
      <formula>OR($G$89="",$G$89="нет")</formula>
    </cfRule>
  </conditionalFormatting>
  <conditionalFormatting sqref="E93">
    <cfRule type="expression" dxfId="640" priority="545">
      <formula>OR($G$89="",AND($G$89="да",$G$90=""))</formula>
    </cfRule>
  </conditionalFormatting>
  <conditionalFormatting sqref="E94:E105">
    <cfRule type="expression" dxfId="639" priority="544">
      <formula>OR($G$93="",$G$93="нет")</formula>
    </cfRule>
  </conditionalFormatting>
  <conditionalFormatting sqref="E106">
    <cfRule type="expression" dxfId="638" priority="543">
      <formula>OR($G$93="",AND($G$93="да",$G$103=""))</formula>
    </cfRule>
  </conditionalFormatting>
  <conditionalFormatting sqref="E95:E96">
    <cfRule type="expression" dxfId="637" priority="542">
      <formula>OR($G$94="",$G$94="нет")</formula>
    </cfRule>
  </conditionalFormatting>
  <conditionalFormatting sqref="E97">
    <cfRule type="expression" dxfId="636" priority="541">
      <formula>$G$94=""</formula>
    </cfRule>
  </conditionalFormatting>
  <conditionalFormatting sqref="E98:E99">
    <cfRule type="expression" dxfId="635" priority="540">
      <formula>OR($G$97="",$G$97="нет")</formula>
    </cfRule>
  </conditionalFormatting>
  <conditionalFormatting sqref="E100">
    <cfRule type="expression" dxfId="634" priority="539">
      <formula>$G$97=""</formula>
    </cfRule>
  </conditionalFormatting>
  <conditionalFormatting sqref="E101:E102">
    <cfRule type="expression" dxfId="633" priority="538">
      <formula>OR($G$100="",$G$100="нет")</formula>
    </cfRule>
  </conditionalFormatting>
  <conditionalFormatting sqref="E103">
    <cfRule type="expression" dxfId="632" priority="537">
      <formula>$G$100=""</formula>
    </cfRule>
  </conditionalFormatting>
  <conditionalFormatting sqref="E104:E105">
    <cfRule type="expression" dxfId="631" priority="536">
      <formula>OR($G$103="",$G$103="нет")</formula>
    </cfRule>
  </conditionalFormatting>
  <conditionalFormatting sqref="E107:E110">
    <cfRule type="expression" dxfId="630" priority="535">
      <formula>OR($G$106="",$G$106="нет")</formula>
    </cfRule>
  </conditionalFormatting>
  <conditionalFormatting sqref="E108:E110">
    <cfRule type="expression" dxfId="629" priority="534">
      <formula>OR($G$107="",$G$107="нет")</formula>
    </cfRule>
  </conditionalFormatting>
  <conditionalFormatting sqref="E72">
    <cfRule type="expression" dxfId="628" priority="533">
      <formula>OR($G$71="",$G$71="да")</formula>
    </cfRule>
  </conditionalFormatting>
  <conditionalFormatting sqref="E111:E112">
    <cfRule type="expression" dxfId="627" priority="530">
      <formula>AND($G$107="да",$G$108="")</formula>
    </cfRule>
    <cfRule type="expression" dxfId="626" priority="531">
      <formula>AND($G$106="да",$G$107="")</formula>
    </cfRule>
    <cfRule type="expression" dxfId="625" priority="532">
      <formula>$G$106=""</formula>
    </cfRule>
  </conditionalFormatting>
  <conditionalFormatting sqref="E113:E115">
    <cfRule type="expression" dxfId="624" priority="529">
      <formula>OR($G$112="",$G$112="нет")</formula>
    </cfRule>
  </conditionalFormatting>
  <conditionalFormatting sqref="E144">
    <cfRule type="expression" dxfId="623" priority="491">
      <formula>$G$17=""</formula>
    </cfRule>
    <cfRule type="expression" dxfId="622" priority="492">
      <formula>AND($G$17="нет",$G$23="")</formula>
    </cfRule>
    <cfRule type="expression" dxfId="621" priority="493">
      <formula>AND($G$62="да",$G$64="")</formula>
    </cfRule>
    <cfRule type="expression" dxfId="620" priority="494">
      <formula>AND($G$23="нет",$G$62="")</formula>
    </cfRule>
    <cfRule type="expression" dxfId="619" priority="495">
      <formula>AND($G$23="да",$G$37="")</formula>
    </cfRule>
    <cfRule type="expression" dxfId="618" priority="496">
      <formula>AND($G$37="да",$G$47="")</formula>
    </cfRule>
    <cfRule type="expression" dxfId="617" priority="498">
      <formula>AND($G$17="да",$G$67="")</formula>
    </cfRule>
    <cfRule type="expression" dxfId="616" priority="511">
      <formula>AND($G$129="да",$G$140="")</formula>
    </cfRule>
    <cfRule type="expression" dxfId="615" priority="512">
      <formula>AND($G$129="да",$G$140="да",$G$142="")</formula>
    </cfRule>
    <cfRule type="expression" dxfId="614" priority="513">
      <formula>AND($G$67="нет",$G$129="")</formula>
    </cfRule>
    <cfRule type="expression" dxfId="613" priority="523">
      <formula>AND($G$107="да",$G$108="")</formula>
    </cfRule>
    <cfRule type="expression" dxfId="612" priority="526">
      <formula>AND($G$106="да",$G$107="")</formula>
    </cfRule>
    <cfRule type="expression" dxfId="611" priority="527">
      <formula>AND($G$71="да",$G$106="")</formula>
    </cfRule>
    <cfRule type="expression" dxfId="610" priority="528">
      <formula>AND($G$71="нет",$G$112="")</formula>
    </cfRule>
  </conditionalFormatting>
  <conditionalFormatting sqref="E118:E121">
    <cfRule type="expression" dxfId="609" priority="522">
      <formula>$G$117=""</formula>
    </cfRule>
  </conditionalFormatting>
  <conditionalFormatting sqref="E119:E121">
    <cfRule type="expression" dxfId="608" priority="521">
      <formula>OR(AND($G$117="нет",$G$118=""),AND($G$117="нет",$G$118="нет"))</formula>
    </cfRule>
  </conditionalFormatting>
  <conditionalFormatting sqref="E128:E129">
    <cfRule type="expression" dxfId="607" priority="497">
      <formula>$G$117=""</formula>
    </cfRule>
    <cfRule type="expression" dxfId="606" priority="520">
      <formula>AND($G$117="нет",$G$118="")</formula>
    </cfRule>
  </conditionalFormatting>
  <conditionalFormatting sqref="E118">
    <cfRule type="expression" dxfId="605" priority="516">
      <formula>$G$117="да"</formula>
    </cfRule>
  </conditionalFormatting>
  <conditionalFormatting sqref="E123:E125">
    <cfRule type="expression" dxfId="604" priority="515">
      <formula>OR($G$121="",$G$121="нет")</formula>
    </cfRule>
  </conditionalFormatting>
  <conditionalFormatting sqref="E130:E143">
    <cfRule type="expression" dxfId="603" priority="514">
      <formula>OR($G$129="",$G$129="нет")</formula>
    </cfRule>
  </conditionalFormatting>
  <conditionalFormatting sqref="E131:E135">
    <cfRule type="expression" dxfId="602" priority="510">
      <formula>OR($G$130="",$G$130="нет")</formula>
    </cfRule>
  </conditionalFormatting>
  <conditionalFormatting sqref="E132:E135">
    <cfRule type="expression" dxfId="601" priority="509">
      <formula>OR($G$131="",$G$131="нет")</formula>
    </cfRule>
  </conditionalFormatting>
  <conditionalFormatting sqref="E136">
    <cfRule type="expression" dxfId="600" priority="506">
      <formula>AND($G$130="да",$G$131="")</formula>
    </cfRule>
    <cfRule type="expression" dxfId="599" priority="508">
      <formula>$G$130=""</formula>
    </cfRule>
  </conditionalFormatting>
  <conditionalFormatting sqref="E137:E139">
    <cfRule type="expression" dxfId="598" priority="505">
      <formula>OR($G$136="",$G$136="нет")</formula>
    </cfRule>
  </conditionalFormatting>
  <conditionalFormatting sqref="E139">
    <cfRule type="expression" dxfId="597" priority="504">
      <formula>OR($G$138="",$G$138="нет")</formula>
    </cfRule>
  </conditionalFormatting>
  <conditionalFormatting sqref="E140">
    <cfRule type="expression" dxfId="596" priority="499">
      <formula>$G$136=""</formula>
    </cfRule>
    <cfRule type="expression" dxfId="595" priority="500">
      <formula>$G$130=""</formula>
    </cfRule>
    <cfRule type="expression" dxfId="594" priority="503">
      <formula>AND($G$136="да",$G$138="")</formula>
    </cfRule>
  </conditionalFormatting>
  <conditionalFormatting sqref="E141:E143">
    <cfRule type="expression" dxfId="593" priority="502">
      <formula>OR($G$140="",$G$140="нет")</formula>
    </cfRule>
  </conditionalFormatting>
  <conditionalFormatting sqref="E143">
    <cfRule type="expression" dxfId="592" priority="501">
      <formula>OR($G$142="",$G$142="нет")</formula>
    </cfRule>
  </conditionalFormatting>
  <conditionalFormatting sqref="K146:K147">
    <cfRule type="expression" dxfId="591" priority="490">
      <formula>OR($G$145="",$G$145="нет")</formula>
    </cfRule>
  </conditionalFormatting>
  <conditionalFormatting sqref="K148">
    <cfRule type="expression" dxfId="590" priority="489">
      <formula>$G$145=""</formula>
    </cfRule>
  </conditionalFormatting>
  <conditionalFormatting sqref="K149:K160">
    <cfRule type="expression" dxfId="589" priority="488">
      <formula>$G$148="нет"</formula>
    </cfRule>
  </conditionalFormatting>
  <conditionalFormatting sqref="K161">
    <cfRule type="expression" dxfId="588" priority="487">
      <formula>IF($G$148="да",$G$158="",$G$148="")</formula>
    </cfRule>
  </conditionalFormatting>
  <conditionalFormatting sqref="K149">
    <cfRule type="expression" dxfId="587" priority="486">
      <formula>OR($G$148="",$G$148="нет")</formula>
    </cfRule>
  </conditionalFormatting>
  <conditionalFormatting sqref="K150:K151">
    <cfRule type="expression" dxfId="586" priority="485">
      <formula>OR($G$149="нет",$G$149="")</formula>
    </cfRule>
  </conditionalFormatting>
  <conditionalFormatting sqref="K152">
    <cfRule type="expression" dxfId="585" priority="484">
      <formula>$G$149=""</formula>
    </cfRule>
  </conditionalFormatting>
  <conditionalFormatting sqref="K153:K154">
    <cfRule type="expression" dxfId="584" priority="483">
      <formula>OR($G$152="",$G$152="нет")</formula>
    </cfRule>
  </conditionalFormatting>
  <conditionalFormatting sqref="K155">
    <cfRule type="expression" dxfId="583" priority="482">
      <formula>$G$152=""</formula>
    </cfRule>
  </conditionalFormatting>
  <conditionalFormatting sqref="K156:K157">
    <cfRule type="expression" dxfId="582" priority="481">
      <formula>OR($G$155="",$G$155="нет")</formula>
    </cfRule>
  </conditionalFormatting>
  <conditionalFormatting sqref="K158">
    <cfRule type="expression" dxfId="581" priority="480">
      <formula>$G$155=""</formula>
    </cfRule>
  </conditionalFormatting>
  <conditionalFormatting sqref="K159:K160">
    <cfRule type="expression" dxfId="580" priority="479">
      <formula>OR($G$158="нет",$G$158="")</formula>
    </cfRule>
  </conditionalFormatting>
  <conditionalFormatting sqref="K162">
    <cfRule type="expression" dxfId="579" priority="478">
      <formula>OR($G$161="",$G$161="нет")</formula>
    </cfRule>
  </conditionalFormatting>
  <conditionalFormatting sqref="K163:K164">
    <cfRule type="expression" dxfId="578" priority="477">
      <formula>$G$161=""</formula>
    </cfRule>
  </conditionalFormatting>
  <conditionalFormatting sqref="K165:K168">
    <cfRule type="expression" dxfId="577" priority="476">
      <formula>OR($G$164="",$G$164="нет")</formula>
    </cfRule>
  </conditionalFormatting>
  <conditionalFormatting sqref="K169">
    <cfRule type="expression" dxfId="576" priority="475">
      <formula>OR($G$164="",IF($G$164="да",$G$166="",$G$164))</formula>
    </cfRule>
  </conditionalFormatting>
  <conditionalFormatting sqref="K167">
    <cfRule type="expression" dxfId="575" priority="474">
      <formula>OR($G$166="",$G$166="да")</formula>
    </cfRule>
  </conditionalFormatting>
  <conditionalFormatting sqref="K168">
    <cfRule type="expression" dxfId="574" priority="473">
      <formula>OR($G$166="",$G$166="нет")</formula>
    </cfRule>
  </conditionalFormatting>
  <conditionalFormatting sqref="K171">
    <cfRule type="expression" dxfId="573" priority="472">
      <formula>OR($G$169="",$G$169="нет")</formula>
    </cfRule>
  </conditionalFormatting>
  <conditionalFormatting sqref="K172:K173">
    <cfRule type="expression" dxfId="572" priority="471">
      <formula>$G$169=""</formula>
    </cfRule>
  </conditionalFormatting>
  <conditionalFormatting sqref="K174:K175">
    <cfRule type="expression" dxfId="571" priority="470">
      <formula>OR($G$173="",$G$173="нет")</formula>
    </cfRule>
  </conditionalFormatting>
  <conditionalFormatting sqref="K176">
    <cfRule type="expression" dxfId="570" priority="469">
      <formula>OR($G$173="",$G$173="да")</formula>
    </cfRule>
  </conditionalFormatting>
  <conditionalFormatting sqref="K177">
    <cfRule type="expression" dxfId="569" priority="468">
      <formula>$G$173=""</formula>
    </cfRule>
  </conditionalFormatting>
  <conditionalFormatting sqref="K178">
    <cfRule type="expression" dxfId="568" priority="467">
      <formula>$G$177=""</formula>
    </cfRule>
  </conditionalFormatting>
  <conditionalFormatting sqref="K178:K181">
    <cfRule type="expression" dxfId="567" priority="466">
      <formula>$G$177="нет"</formula>
    </cfRule>
  </conditionalFormatting>
  <conditionalFormatting sqref="K179:K181">
    <cfRule type="expression" dxfId="566" priority="462">
      <formula>$G$178=""</formula>
    </cfRule>
    <cfRule type="expression" dxfId="565" priority="465">
      <formula>$G$177=""</formula>
    </cfRule>
  </conditionalFormatting>
  <conditionalFormatting sqref="K179:K180">
    <cfRule type="expression" dxfId="564" priority="464">
      <formula>$G$178="нет"</formula>
    </cfRule>
  </conditionalFormatting>
  <conditionalFormatting sqref="K181">
    <cfRule type="expression" dxfId="563" priority="463">
      <formula>$G$178="да"</formula>
    </cfRule>
  </conditionalFormatting>
  <conditionalFormatting sqref="K186:K187">
    <cfRule type="expression" dxfId="562" priority="461">
      <formula>$G$182=""</formula>
    </cfRule>
  </conditionalFormatting>
  <conditionalFormatting sqref="K186">
    <cfRule type="expression" dxfId="561" priority="459">
      <formula>$G$182="нет"</formula>
    </cfRule>
  </conditionalFormatting>
  <conditionalFormatting sqref="K186">
    <cfRule type="expression" dxfId="560" priority="458">
      <formula>$G$71="да"</formula>
    </cfRule>
  </conditionalFormatting>
  <conditionalFormatting sqref="K188:K189">
    <cfRule type="expression" dxfId="559" priority="457">
      <formula>$G$182=""</formula>
    </cfRule>
  </conditionalFormatting>
  <conditionalFormatting sqref="K190:K191">
    <cfRule type="expression" dxfId="558" priority="456">
      <formula>OR($G$189="",$G$189="нет")</formula>
    </cfRule>
  </conditionalFormatting>
  <conditionalFormatting sqref="K66:K69">
    <cfRule type="expression" dxfId="557" priority="455">
      <formula>OR($G$17="нет",$G$17="")</formula>
    </cfRule>
  </conditionalFormatting>
  <conditionalFormatting sqref="K18:K20">
    <cfRule type="expression" dxfId="556" priority="454">
      <formula>OR($G$17="",$G$17="да")</formula>
    </cfRule>
  </conditionalFormatting>
  <conditionalFormatting sqref="K182">
    <cfRule type="expression" dxfId="555" priority="453">
      <formula>OR($G$177="",IF($G$177="да",$G$178="",$G$177="да"))</formula>
    </cfRule>
  </conditionalFormatting>
  <conditionalFormatting sqref="K20">
    <cfRule type="expression" dxfId="554" priority="452">
      <formula>OR($G$19="",$G$19="нет")</formula>
    </cfRule>
  </conditionalFormatting>
  <conditionalFormatting sqref="K23">
    <cfRule type="expression" dxfId="553" priority="451">
      <formula>$G$19=""</formula>
    </cfRule>
  </conditionalFormatting>
  <conditionalFormatting sqref="K24:K28">
    <cfRule type="expression" dxfId="552" priority="450">
      <formula>OR($G$23="",$G$23="нет")</formula>
    </cfRule>
  </conditionalFormatting>
  <conditionalFormatting sqref="K29">
    <cfRule type="expression" dxfId="551" priority="449">
      <formula>OR($G$28="",$G$28="нет")</formula>
    </cfRule>
  </conditionalFormatting>
  <conditionalFormatting sqref="K30">
    <cfRule type="expression" dxfId="550" priority="448">
      <formula>OR($G$29="",$G$29="нет")</formula>
    </cfRule>
  </conditionalFormatting>
  <conditionalFormatting sqref="K31:K32">
    <cfRule type="expression" dxfId="549" priority="447">
      <formula>OR($G$29="",$G$29="нет")</formula>
    </cfRule>
  </conditionalFormatting>
  <conditionalFormatting sqref="K33">
    <cfRule type="expression" dxfId="548" priority="444">
      <formula>IF($G$28="да",$G$29="",$G$28="да")</formula>
    </cfRule>
    <cfRule type="expression" dxfId="547" priority="446">
      <formula>$G$28=""</formula>
    </cfRule>
  </conditionalFormatting>
  <conditionalFormatting sqref="K34:K36">
    <cfRule type="expression" dxfId="546" priority="443">
      <formula>OR($G$33="",$G$33="нет")</formula>
    </cfRule>
  </conditionalFormatting>
  <conditionalFormatting sqref="K37">
    <cfRule type="expression" dxfId="545" priority="442">
      <formula>OR($G$33="",IF($G$33="да",$G$34="",$G$33="да"))</formula>
    </cfRule>
  </conditionalFormatting>
  <conditionalFormatting sqref="K38:K49">
    <cfRule type="expression" dxfId="544" priority="441">
      <formula>OR($G$37="",$G$37="нет")</formula>
    </cfRule>
  </conditionalFormatting>
  <conditionalFormatting sqref="K39:K40">
    <cfRule type="expression" dxfId="543" priority="440">
      <formula>OR($G$38="",$G$38="нет")</formula>
    </cfRule>
  </conditionalFormatting>
  <conditionalFormatting sqref="K41">
    <cfRule type="expression" dxfId="542" priority="439">
      <formula>$G$38=""</formula>
    </cfRule>
  </conditionalFormatting>
  <conditionalFormatting sqref="K42:K43">
    <cfRule type="expression" dxfId="541" priority="438">
      <formula>OR($G$41="",$G$41="нет")</formula>
    </cfRule>
  </conditionalFormatting>
  <conditionalFormatting sqref="K44">
    <cfRule type="expression" dxfId="540" priority="437">
      <formula>$G$41=""</formula>
    </cfRule>
  </conditionalFormatting>
  <conditionalFormatting sqref="K45:K46">
    <cfRule type="expression" dxfId="539" priority="436">
      <formula>OR($G$44="",$G$44="нет")</formula>
    </cfRule>
  </conditionalFormatting>
  <conditionalFormatting sqref="K47">
    <cfRule type="expression" dxfId="538" priority="435">
      <formula>$G$44=""</formula>
    </cfRule>
  </conditionalFormatting>
  <conditionalFormatting sqref="K48:K49">
    <cfRule type="expression" dxfId="537" priority="434">
      <formula>OR($G$47="",$G$47="нет")</formula>
    </cfRule>
  </conditionalFormatting>
  <conditionalFormatting sqref="K50:K53">
    <cfRule type="expression" dxfId="536" priority="433">
      <formula>OR($G$23="",$G$23="да")</formula>
    </cfRule>
  </conditionalFormatting>
  <conditionalFormatting sqref="K52:K53">
    <cfRule type="expression" dxfId="535" priority="432">
      <formula>OR($G$51="",$G$51="нет")</formula>
    </cfRule>
  </conditionalFormatting>
  <conditionalFormatting sqref="K58">
    <cfRule type="expression" dxfId="534" priority="428">
      <formula>IF($G$51="да",$G$52="",$G$51="да")</formula>
    </cfRule>
    <cfRule type="expression" dxfId="533" priority="431">
      <formula>$G$51=""</formula>
    </cfRule>
  </conditionalFormatting>
  <conditionalFormatting sqref="K53">
    <cfRule type="expression" dxfId="532" priority="430">
      <formula>OR($G$52="",$G$52="нет")</formula>
    </cfRule>
  </conditionalFormatting>
  <conditionalFormatting sqref="K59:K61">
    <cfRule type="expression" dxfId="531" priority="427">
      <formula>OR($G$58="",$G$58="нет")</formula>
    </cfRule>
  </conditionalFormatting>
  <conditionalFormatting sqref="K61">
    <cfRule type="expression" dxfId="530" priority="426">
      <formula>OR($G$60="",$G$60="нет")</formula>
    </cfRule>
  </conditionalFormatting>
  <conditionalFormatting sqref="K62">
    <cfRule type="expression" dxfId="529" priority="425">
      <formula>OR($G$58="",IF($G$58="да",$G$60="",$G$58="да"))</formula>
    </cfRule>
  </conditionalFormatting>
  <conditionalFormatting sqref="K63:K65">
    <cfRule type="expression" dxfId="528" priority="424">
      <formula>OR($G$62="",$G$62="нет")</formula>
    </cfRule>
  </conditionalFormatting>
  <conditionalFormatting sqref="K65">
    <cfRule type="expression" dxfId="527" priority="423">
      <formula>OR($G$64="",$G$64="нет")</formula>
    </cfRule>
  </conditionalFormatting>
  <conditionalFormatting sqref="K68:K69">
    <cfRule type="expression" dxfId="526" priority="422">
      <formula>OR($G$67="",$G$67="нет")</formula>
    </cfRule>
  </conditionalFormatting>
  <conditionalFormatting sqref="K116:K121">
    <cfRule type="expression" dxfId="525" priority="420">
      <formula>OR($G$67="",$G$67="да")</formula>
    </cfRule>
  </conditionalFormatting>
  <conditionalFormatting sqref="K71:K72">
    <cfRule type="expression" dxfId="524" priority="417">
      <formula>OR($G$69="",AND($G$69="нет",$G$70="нет"),AND($G$69="нет",$G$70=""))</formula>
    </cfRule>
  </conditionalFormatting>
  <conditionalFormatting sqref="K111:K115">
    <cfRule type="expression" dxfId="523" priority="415">
      <formula>OR($G$71="",$G$71="да")</formula>
    </cfRule>
  </conditionalFormatting>
  <conditionalFormatting sqref="K78:K80">
    <cfRule type="expression" dxfId="522" priority="413">
      <formula>$G$76=""</formula>
    </cfRule>
  </conditionalFormatting>
  <conditionalFormatting sqref="K78:K80">
    <cfRule type="expression" dxfId="521" priority="412">
      <formula>$G$76="нет"</formula>
    </cfRule>
  </conditionalFormatting>
  <conditionalFormatting sqref="K90:K92">
    <cfRule type="expression" dxfId="520" priority="411">
      <formula>OR($G$89="",$G$89="нет")</formula>
    </cfRule>
  </conditionalFormatting>
  <conditionalFormatting sqref="K93">
    <cfRule type="expression" dxfId="519" priority="410">
      <formula>OR($G$89="",AND($G$89="да",$G$90=""))</formula>
    </cfRule>
  </conditionalFormatting>
  <conditionalFormatting sqref="K94:K105">
    <cfRule type="expression" dxfId="518" priority="409">
      <formula>OR($G$93="",$G$93="нет")</formula>
    </cfRule>
  </conditionalFormatting>
  <conditionalFormatting sqref="K106">
    <cfRule type="expression" dxfId="517" priority="408">
      <formula>OR($G$93="",AND($G$93="да",$G$103=""))</formula>
    </cfRule>
  </conditionalFormatting>
  <conditionalFormatting sqref="K95:K96">
    <cfRule type="expression" dxfId="516" priority="407">
      <formula>OR($G$94="",$G$94="нет")</formula>
    </cfRule>
  </conditionalFormatting>
  <conditionalFormatting sqref="K97">
    <cfRule type="expression" dxfId="515" priority="406">
      <formula>$G$94=""</formula>
    </cfRule>
  </conditionalFormatting>
  <conditionalFormatting sqref="K98:K99">
    <cfRule type="expression" dxfId="514" priority="405">
      <formula>OR($G$97="",$G$97="нет")</formula>
    </cfRule>
  </conditionalFormatting>
  <conditionalFormatting sqref="K100">
    <cfRule type="expression" dxfId="513" priority="404">
      <formula>$G$97=""</formula>
    </cfRule>
  </conditionalFormatting>
  <conditionalFormatting sqref="K101:K102">
    <cfRule type="expression" dxfId="512" priority="403">
      <formula>OR($G$100="",$G$100="нет")</formula>
    </cfRule>
  </conditionalFormatting>
  <conditionalFormatting sqref="K103">
    <cfRule type="expression" dxfId="511" priority="402">
      <formula>$G$100=""</formula>
    </cfRule>
  </conditionalFormatting>
  <conditionalFormatting sqref="K104:K105">
    <cfRule type="expression" dxfId="510" priority="401">
      <formula>OR($G$103="",$G$103="нет")</formula>
    </cfRule>
  </conditionalFormatting>
  <conditionalFormatting sqref="K107:K110">
    <cfRule type="expression" dxfId="509" priority="400">
      <formula>OR($G$106="",$G$106="нет")</formula>
    </cfRule>
  </conditionalFormatting>
  <conditionalFormatting sqref="K108:K110">
    <cfRule type="expression" dxfId="508" priority="399">
      <formula>OR($G$107="",$G$107="нет")</formula>
    </cfRule>
  </conditionalFormatting>
  <conditionalFormatting sqref="K72">
    <cfRule type="expression" dxfId="507" priority="398">
      <formula>OR($G$71="",$G$71="да")</formula>
    </cfRule>
  </conditionalFormatting>
  <conditionalFormatting sqref="K111:K112">
    <cfRule type="expression" dxfId="506" priority="395">
      <formula>AND($G$107="да",$G$108="")</formula>
    </cfRule>
    <cfRule type="expression" dxfId="505" priority="396">
      <formula>AND($G$106="да",$G$107="")</formula>
    </cfRule>
    <cfRule type="expression" dxfId="504" priority="397">
      <formula>$G$106=""</formula>
    </cfRule>
  </conditionalFormatting>
  <conditionalFormatting sqref="K113:K115">
    <cfRule type="expression" dxfId="503" priority="394">
      <formula>OR($G$112="",$G$112="нет")</formula>
    </cfRule>
  </conditionalFormatting>
  <conditionalFormatting sqref="K144">
    <cfRule type="expression" dxfId="502" priority="356">
      <formula>$G$17=""</formula>
    </cfRule>
    <cfRule type="expression" dxfId="501" priority="357">
      <formula>AND($G$17="нет",$G$23="")</formula>
    </cfRule>
    <cfRule type="expression" dxfId="500" priority="358">
      <formula>AND($G$62="да",$G$64="")</formula>
    </cfRule>
    <cfRule type="expression" dxfId="499" priority="359">
      <formula>AND($G$23="нет",$G$62="")</formula>
    </cfRule>
    <cfRule type="expression" dxfId="498" priority="360">
      <formula>AND($G$23="да",$G$37="")</formula>
    </cfRule>
    <cfRule type="expression" dxfId="497" priority="361">
      <formula>AND($G$37="да",$G$47="")</formula>
    </cfRule>
    <cfRule type="expression" dxfId="496" priority="363">
      <formula>AND($G$17="да",$G$67="")</formula>
    </cfRule>
    <cfRule type="expression" dxfId="495" priority="376">
      <formula>AND($G$129="да",$G$140="")</formula>
    </cfRule>
    <cfRule type="expression" dxfId="494" priority="377">
      <formula>AND($G$129="да",$G$140="да",$G$142="")</formula>
    </cfRule>
    <cfRule type="expression" dxfId="493" priority="378">
      <formula>AND($G$67="нет",$G$129="")</formula>
    </cfRule>
    <cfRule type="expression" dxfId="492" priority="388">
      <formula>AND($G$107="да",$G$108="")</formula>
    </cfRule>
    <cfRule type="expression" dxfId="491" priority="391">
      <formula>AND($G$106="да",$G$107="")</formula>
    </cfRule>
    <cfRule type="expression" dxfId="490" priority="392">
      <formula>AND($G$71="да",$G$106="")</formula>
    </cfRule>
    <cfRule type="expression" dxfId="489" priority="393">
      <formula>AND($G$71="нет",$G$112="")</formula>
    </cfRule>
  </conditionalFormatting>
  <conditionalFormatting sqref="K118:K121">
    <cfRule type="expression" dxfId="488" priority="387">
      <formula>$G$117=""</formula>
    </cfRule>
  </conditionalFormatting>
  <conditionalFormatting sqref="K119:K121">
    <cfRule type="expression" dxfId="487" priority="386">
      <formula>OR(AND($G$117="нет",$G$118=""),AND($G$117="нет",$G$118="нет"))</formula>
    </cfRule>
  </conditionalFormatting>
  <conditionalFormatting sqref="K128:K129">
    <cfRule type="expression" dxfId="486" priority="362">
      <formula>$G$117=""</formula>
    </cfRule>
    <cfRule type="expression" dxfId="485" priority="385">
      <formula>AND($G$117="нет",$G$118="")</formula>
    </cfRule>
  </conditionalFormatting>
  <conditionalFormatting sqref="K118">
    <cfRule type="expression" dxfId="484" priority="381">
      <formula>$G$117="да"</formula>
    </cfRule>
  </conditionalFormatting>
  <conditionalFormatting sqref="K123:K125">
    <cfRule type="expression" dxfId="483" priority="380">
      <formula>OR($G$121="",$G$121="нет")</formula>
    </cfRule>
  </conditionalFormatting>
  <conditionalFormatting sqref="K130:K143">
    <cfRule type="expression" dxfId="482" priority="379">
      <formula>OR($G$129="",$G$129="нет")</formula>
    </cfRule>
  </conditionalFormatting>
  <conditionalFormatting sqref="K131:K135">
    <cfRule type="expression" dxfId="481" priority="375">
      <formula>OR($G$130="",$G$130="нет")</formula>
    </cfRule>
  </conditionalFormatting>
  <conditionalFormatting sqref="K132:K135">
    <cfRule type="expression" dxfId="480" priority="374">
      <formula>OR($G$131="",$G$131="нет")</formula>
    </cfRule>
  </conditionalFormatting>
  <conditionalFormatting sqref="K136">
    <cfRule type="expression" dxfId="479" priority="371">
      <formula>AND($G$130="да",$G$131="")</formula>
    </cfRule>
    <cfRule type="expression" dxfId="478" priority="373">
      <formula>$G$130=""</formula>
    </cfRule>
  </conditionalFormatting>
  <conditionalFormatting sqref="K137:K139">
    <cfRule type="expression" dxfId="477" priority="370">
      <formula>OR($G$136="",$G$136="нет")</formula>
    </cfRule>
  </conditionalFormatting>
  <conditionalFormatting sqref="K139">
    <cfRule type="expression" dxfId="476" priority="369">
      <formula>OR($G$138="",$G$138="нет")</formula>
    </cfRule>
  </conditionalFormatting>
  <conditionalFormatting sqref="K140">
    <cfRule type="expression" dxfId="475" priority="364">
      <formula>$G$136=""</formula>
    </cfRule>
    <cfRule type="expression" dxfId="474" priority="365">
      <formula>$G$130=""</formula>
    </cfRule>
    <cfRule type="expression" dxfId="473" priority="368">
      <formula>AND($G$136="да",$G$138="")</formula>
    </cfRule>
  </conditionalFormatting>
  <conditionalFormatting sqref="K141:K143">
    <cfRule type="expression" dxfId="472" priority="367">
      <formula>OR($G$140="",$G$140="нет")</formula>
    </cfRule>
  </conditionalFormatting>
  <conditionalFormatting sqref="K143">
    <cfRule type="expression" dxfId="471" priority="366">
      <formula>OR($G$142="",$G$142="нет")</formula>
    </cfRule>
  </conditionalFormatting>
  <conditionalFormatting sqref="J146:J147">
    <cfRule type="expression" dxfId="470" priority="355">
      <formula>OR($G$145="",$G$145="нет")</formula>
    </cfRule>
  </conditionalFormatting>
  <conditionalFormatting sqref="I148:J148">
    <cfRule type="expression" dxfId="469" priority="354">
      <formula>$G$145=""</formula>
    </cfRule>
  </conditionalFormatting>
  <conditionalFormatting sqref="J149:J160">
    <cfRule type="expression" dxfId="468" priority="353">
      <formula>$G$148="нет"</formula>
    </cfRule>
  </conditionalFormatting>
  <conditionalFormatting sqref="I161:J161">
    <cfRule type="expression" dxfId="467" priority="352">
      <formula>IF($G$148="да",$G$158="",$G$148="")</formula>
    </cfRule>
  </conditionalFormatting>
  <conditionalFormatting sqref="I149:J149">
    <cfRule type="expression" dxfId="466" priority="351">
      <formula>OR($G$148="",$G$148="нет")</formula>
    </cfRule>
  </conditionalFormatting>
  <conditionalFormatting sqref="J150:J151">
    <cfRule type="expression" dxfId="465" priority="350">
      <formula>OR($G$149="нет",$G$149="")</formula>
    </cfRule>
  </conditionalFormatting>
  <conditionalFormatting sqref="I152:J152">
    <cfRule type="expression" dxfId="464" priority="349">
      <formula>$G$149=""</formula>
    </cfRule>
  </conditionalFormatting>
  <conditionalFormatting sqref="J153:J154">
    <cfRule type="expression" dxfId="463" priority="348">
      <formula>OR($G$152="",$G$152="нет")</formula>
    </cfRule>
  </conditionalFormatting>
  <conditionalFormatting sqref="I155:J155">
    <cfRule type="expression" dxfId="462" priority="347">
      <formula>$G$152=""</formula>
    </cfRule>
  </conditionalFormatting>
  <conditionalFormatting sqref="J156:J157">
    <cfRule type="expression" dxfId="461" priority="346">
      <formula>OR($G$155="",$G$155="нет")</formula>
    </cfRule>
  </conditionalFormatting>
  <conditionalFormatting sqref="I158:J158">
    <cfRule type="expression" dxfId="460" priority="345">
      <formula>$G$155=""</formula>
    </cfRule>
  </conditionalFormatting>
  <conditionalFormatting sqref="J159:J160">
    <cfRule type="expression" dxfId="459" priority="344">
      <formula>OR($G$158="нет",$G$158="")</formula>
    </cfRule>
  </conditionalFormatting>
  <conditionalFormatting sqref="I162:J162">
    <cfRule type="expression" dxfId="458" priority="343">
      <formula>OR($G$161="",$G$161="нет")</formula>
    </cfRule>
  </conditionalFormatting>
  <conditionalFormatting sqref="J163:J164">
    <cfRule type="expression" dxfId="457" priority="342">
      <formula>$G$161=""</formula>
    </cfRule>
  </conditionalFormatting>
  <conditionalFormatting sqref="J165:J168">
    <cfRule type="expression" dxfId="456" priority="341">
      <formula>OR($G$164="",$G$164="нет")</formula>
    </cfRule>
  </conditionalFormatting>
  <conditionalFormatting sqref="I169:J169">
    <cfRule type="expression" dxfId="455" priority="340">
      <formula>OR($G$164="",IF($G$164="да",$G$166="",$G$164))</formula>
    </cfRule>
  </conditionalFormatting>
  <conditionalFormatting sqref="I167:J167">
    <cfRule type="expression" dxfId="454" priority="339">
      <formula>OR($G$166="",$G$166="да")</formula>
    </cfRule>
  </conditionalFormatting>
  <conditionalFormatting sqref="I168:J168">
    <cfRule type="expression" dxfId="453" priority="338">
      <formula>OR($G$166="",$G$166="нет")</formula>
    </cfRule>
  </conditionalFormatting>
  <conditionalFormatting sqref="I171:J171">
    <cfRule type="expression" dxfId="452" priority="337">
      <formula>OR($G$169="",$G$169="нет")</formula>
    </cfRule>
  </conditionalFormatting>
  <conditionalFormatting sqref="J172:J173">
    <cfRule type="expression" dxfId="451" priority="336">
      <formula>$G$169=""</formula>
    </cfRule>
  </conditionalFormatting>
  <conditionalFormatting sqref="J174:J175">
    <cfRule type="expression" dxfId="450" priority="335">
      <formula>OR($G$173="",$G$173="нет")</formula>
    </cfRule>
  </conditionalFormatting>
  <conditionalFormatting sqref="I176:J176">
    <cfRule type="expression" dxfId="449" priority="334">
      <formula>OR($G$173="",$G$173="да")</formula>
    </cfRule>
  </conditionalFormatting>
  <conditionalFormatting sqref="I177:J177">
    <cfRule type="expression" dxfId="448" priority="333">
      <formula>$G$173=""</formula>
    </cfRule>
  </conditionalFormatting>
  <conditionalFormatting sqref="I178:J178">
    <cfRule type="expression" dxfId="447" priority="332">
      <formula>$G$177=""</formula>
    </cfRule>
  </conditionalFormatting>
  <conditionalFormatting sqref="J178:J181">
    <cfRule type="expression" dxfId="446" priority="331">
      <formula>$G$177="нет"</formula>
    </cfRule>
  </conditionalFormatting>
  <conditionalFormatting sqref="J179:J181">
    <cfRule type="expression" dxfId="445" priority="327">
      <formula>$G$178=""</formula>
    </cfRule>
    <cfRule type="expression" dxfId="444" priority="330">
      <formula>$G$177=""</formula>
    </cfRule>
  </conditionalFormatting>
  <conditionalFormatting sqref="J179:J180">
    <cfRule type="expression" dxfId="443" priority="329">
      <formula>$G$178="нет"</formula>
    </cfRule>
  </conditionalFormatting>
  <conditionalFormatting sqref="I181:J181">
    <cfRule type="expression" dxfId="442" priority="328">
      <formula>$G$178="да"</formula>
    </cfRule>
  </conditionalFormatting>
  <conditionalFormatting sqref="J186:J187">
    <cfRule type="expression" dxfId="441" priority="326">
      <formula>$G$182=""</formula>
    </cfRule>
  </conditionalFormatting>
  <conditionalFormatting sqref="J186">
    <cfRule type="expression" dxfId="440" priority="324">
      <formula>$G$182="нет"</formula>
    </cfRule>
  </conditionalFormatting>
  <conditionalFormatting sqref="I186:J186">
    <cfRule type="expression" dxfId="439" priority="323">
      <formula>$G$71="да"</formula>
    </cfRule>
  </conditionalFormatting>
  <conditionalFormatting sqref="J188:J189">
    <cfRule type="expression" dxfId="438" priority="322">
      <formula>$G$182=""</formula>
    </cfRule>
  </conditionalFormatting>
  <conditionalFormatting sqref="J190:J191">
    <cfRule type="expression" dxfId="437" priority="321">
      <formula>OR($G$189="",$G$189="нет")</formula>
    </cfRule>
  </conditionalFormatting>
  <conditionalFormatting sqref="J66:J69">
    <cfRule type="expression" dxfId="436" priority="320">
      <formula>OR($G$17="нет",$G$17="")</formula>
    </cfRule>
  </conditionalFormatting>
  <conditionalFormatting sqref="J18:J20">
    <cfRule type="expression" dxfId="435" priority="319">
      <formula>OR($G$17="",$G$17="да")</formula>
    </cfRule>
  </conditionalFormatting>
  <conditionalFormatting sqref="I182:J182">
    <cfRule type="expression" dxfId="434" priority="318">
      <formula>OR($G$177="",IF($G$177="да",$G$178="",$G$177="да"))</formula>
    </cfRule>
  </conditionalFormatting>
  <conditionalFormatting sqref="I20:J20">
    <cfRule type="expression" dxfId="433" priority="218">
      <formula>$J$20="ок"</formula>
    </cfRule>
    <cfRule type="expression" dxfId="432" priority="317">
      <formula>OR($G$19="",$G$19="нет")</formula>
    </cfRule>
  </conditionalFormatting>
  <conditionalFormatting sqref="I23:J23">
    <cfRule type="expression" dxfId="431" priority="316">
      <formula>$G$19=""</formula>
    </cfRule>
  </conditionalFormatting>
  <conditionalFormatting sqref="J24:J28">
    <cfRule type="expression" dxfId="430" priority="315">
      <formula>OR($G$23="",$G$23="нет")</formula>
    </cfRule>
  </conditionalFormatting>
  <conditionalFormatting sqref="I29:J29">
    <cfRule type="expression" dxfId="429" priority="314">
      <formula>OR($G$28="",$G$28="нет")</formula>
    </cfRule>
  </conditionalFormatting>
  <conditionalFormatting sqref="I30:J30">
    <cfRule type="expression" dxfId="428" priority="313">
      <formula>OR($G$29="",$G$29="нет")</formula>
    </cfRule>
  </conditionalFormatting>
  <conditionalFormatting sqref="J31:J32">
    <cfRule type="expression" dxfId="427" priority="312">
      <formula>OR($G$29="",$G$29="нет")</formula>
    </cfRule>
  </conditionalFormatting>
  <conditionalFormatting sqref="I33:J33">
    <cfRule type="expression" dxfId="426" priority="309">
      <formula>IF($G$28="да",$G$29="",$G$28="да")</formula>
    </cfRule>
    <cfRule type="expression" dxfId="425" priority="311">
      <formula>$G$28=""</formula>
    </cfRule>
  </conditionalFormatting>
  <conditionalFormatting sqref="J34:J36">
    <cfRule type="expression" dxfId="424" priority="308">
      <formula>OR($G$33="",$G$33="нет")</formula>
    </cfRule>
  </conditionalFormatting>
  <conditionalFormatting sqref="I37:J37">
    <cfRule type="expression" dxfId="423" priority="307">
      <formula>OR($G$33="",IF($G$33="да",$G$34="",$G$33="да"))</formula>
    </cfRule>
  </conditionalFormatting>
  <conditionalFormatting sqref="J38:J49">
    <cfRule type="expression" dxfId="422" priority="306">
      <formula>OR($G$37="",$G$37="нет")</formula>
    </cfRule>
  </conditionalFormatting>
  <conditionalFormatting sqref="J39:J40">
    <cfRule type="expression" dxfId="421" priority="305">
      <formula>OR($G$38="",$G$38="нет")</formula>
    </cfRule>
  </conditionalFormatting>
  <conditionalFormatting sqref="I41:J41">
    <cfRule type="expression" dxfId="420" priority="304">
      <formula>$G$38=""</formula>
    </cfRule>
  </conditionalFormatting>
  <conditionalFormatting sqref="J42:J43">
    <cfRule type="expression" dxfId="419" priority="303">
      <formula>OR($G$41="",$G$41="нет")</formula>
    </cfRule>
  </conditionalFormatting>
  <conditionalFormatting sqref="I44:J44">
    <cfRule type="expression" dxfId="418" priority="302">
      <formula>$G$41=""</formula>
    </cfRule>
  </conditionalFormatting>
  <conditionalFormatting sqref="J45:J46">
    <cfRule type="expression" dxfId="417" priority="301">
      <formula>OR($G$44="",$G$44="нет")</formula>
    </cfRule>
  </conditionalFormatting>
  <conditionalFormatting sqref="I47:J47">
    <cfRule type="expression" dxfId="416" priority="300">
      <formula>$G$44=""</formula>
    </cfRule>
  </conditionalFormatting>
  <conditionalFormatting sqref="J48:J49">
    <cfRule type="expression" dxfId="415" priority="299">
      <formula>OR($G$47="",$G$47="нет")</formula>
    </cfRule>
  </conditionalFormatting>
  <conditionalFormatting sqref="J50:J53">
    <cfRule type="expression" dxfId="414" priority="298">
      <formula>OR($G$23="",$G$23="да")</formula>
    </cfRule>
  </conditionalFormatting>
  <conditionalFormatting sqref="J52:J53">
    <cfRule type="expression" dxfId="413" priority="297">
      <formula>OR($G$51="",$G$51="нет")</formula>
    </cfRule>
  </conditionalFormatting>
  <conditionalFormatting sqref="I58:J58">
    <cfRule type="expression" dxfId="412" priority="293">
      <formula>IF($G$51="да",$G$52="",$G$51="да")</formula>
    </cfRule>
    <cfRule type="expression" dxfId="411" priority="296">
      <formula>$G$51=""</formula>
    </cfRule>
  </conditionalFormatting>
  <conditionalFormatting sqref="I53:J53">
    <cfRule type="expression" dxfId="410" priority="295">
      <formula>OR($G$52="",$G$52="нет")</formula>
    </cfRule>
  </conditionalFormatting>
  <conditionalFormatting sqref="J59:J61">
    <cfRule type="expression" dxfId="409" priority="292">
      <formula>OR($G$58="",$G$58="нет")</formula>
    </cfRule>
  </conditionalFormatting>
  <conditionalFormatting sqref="I61:J61">
    <cfRule type="expression" dxfId="408" priority="291">
      <formula>OR($G$60="",$G$60="нет")</formula>
    </cfRule>
  </conditionalFormatting>
  <conditionalFormatting sqref="I62:J62">
    <cfRule type="expression" dxfId="407" priority="290">
      <formula>OR($G$58="",IF($G$58="да",$G$60="",$G$58="да"))</formula>
    </cfRule>
  </conditionalFormatting>
  <conditionalFormatting sqref="J63:J65">
    <cfRule type="expression" dxfId="406" priority="289">
      <formula>OR($G$62="",$G$62="нет")</formula>
    </cfRule>
  </conditionalFormatting>
  <conditionalFormatting sqref="I65:J65">
    <cfRule type="expression" dxfId="405" priority="288">
      <formula>OR($G$64="",$G$64="нет")</formula>
    </cfRule>
  </conditionalFormatting>
  <conditionalFormatting sqref="J68:J69">
    <cfRule type="expression" dxfId="404" priority="287">
      <formula>OR($G$67="",$G$67="нет")</formula>
    </cfRule>
  </conditionalFormatting>
  <conditionalFormatting sqref="J116:J121">
    <cfRule type="expression" dxfId="403" priority="285">
      <formula>OR($G$67="",$G$67="да")</formula>
    </cfRule>
  </conditionalFormatting>
  <conditionalFormatting sqref="J71:J72">
    <cfRule type="expression" dxfId="402" priority="282">
      <formula>OR($G$69="",AND($G$69="нет",$G$70="нет"),AND($G$69="нет",$G$70=""))</formula>
    </cfRule>
  </conditionalFormatting>
  <conditionalFormatting sqref="J111:J115">
    <cfRule type="expression" dxfId="401" priority="280">
      <formula>OR($G$71="",$G$71="да")</formula>
    </cfRule>
  </conditionalFormatting>
  <conditionalFormatting sqref="J78:J80">
    <cfRule type="expression" dxfId="400" priority="278">
      <formula>$G$76=""</formula>
    </cfRule>
  </conditionalFormatting>
  <conditionalFormatting sqref="J78:J80">
    <cfRule type="expression" dxfId="399" priority="277">
      <formula>$G$76="нет"</formula>
    </cfRule>
  </conditionalFormatting>
  <conditionalFormatting sqref="J90:J92">
    <cfRule type="expression" dxfId="398" priority="276">
      <formula>OR($G$89="",$G$89="нет")</formula>
    </cfRule>
  </conditionalFormatting>
  <conditionalFormatting sqref="I93:J93">
    <cfRule type="expression" dxfId="397" priority="275">
      <formula>OR($G$89="",AND($G$89="да",$G$90=""))</formula>
    </cfRule>
  </conditionalFormatting>
  <conditionalFormatting sqref="J94:J105">
    <cfRule type="expression" dxfId="396" priority="274">
      <formula>OR($G$93="",$G$93="нет")</formula>
    </cfRule>
  </conditionalFormatting>
  <conditionalFormatting sqref="I106:J106">
    <cfRule type="expression" dxfId="395" priority="273">
      <formula>OR($G$93="",AND($G$93="да",$G$103=""))</formula>
    </cfRule>
  </conditionalFormatting>
  <conditionalFormatting sqref="J95:J96">
    <cfRule type="expression" dxfId="394" priority="272">
      <formula>OR($G$94="",$G$94="нет")</formula>
    </cfRule>
  </conditionalFormatting>
  <conditionalFormatting sqref="I97:J97">
    <cfRule type="expression" dxfId="393" priority="271">
      <formula>$G$94=""</formula>
    </cfRule>
  </conditionalFormatting>
  <conditionalFormatting sqref="J98:J99">
    <cfRule type="expression" dxfId="392" priority="270">
      <formula>OR($G$97="",$G$97="нет")</formula>
    </cfRule>
  </conditionalFormatting>
  <conditionalFormatting sqref="I100:J100">
    <cfRule type="expression" dxfId="391" priority="269">
      <formula>$G$97=""</formula>
    </cfRule>
  </conditionalFormatting>
  <conditionalFormatting sqref="J101:J102">
    <cfRule type="expression" dxfId="390" priority="268">
      <formula>OR($G$100="",$G$100="нет")</formula>
    </cfRule>
  </conditionalFormatting>
  <conditionalFormatting sqref="I103:J103">
    <cfRule type="expression" dxfId="389" priority="267">
      <formula>$G$100=""</formula>
    </cfRule>
  </conditionalFormatting>
  <conditionalFormatting sqref="J104:J105">
    <cfRule type="expression" dxfId="388" priority="266">
      <formula>OR($G$103="",$G$103="нет")</formula>
    </cfRule>
  </conditionalFormatting>
  <conditionalFormatting sqref="J107:J110">
    <cfRule type="expression" dxfId="387" priority="265">
      <formula>OR($G$106="",$G$106="нет")</formula>
    </cfRule>
  </conditionalFormatting>
  <conditionalFormatting sqref="J108:J110">
    <cfRule type="expression" dxfId="386" priority="264">
      <formula>OR($G$107="",$G$107="нет")</formula>
    </cfRule>
  </conditionalFormatting>
  <conditionalFormatting sqref="I72:J72">
    <cfRule type="expression" dxfId="385" priority="263">
      <formula>OR($G$71="",$G$71="да")</formula>
    </cfRule>
  </conditionalFormatting>
  <conditionalFormatting sqref="J111:J112">
    <cfRule type="expression" dxfId="384" priority="260">
      <formula>AND($G$107="да",$G$108="")</formula>
    </cfRule>
    <cfRule type="expression" dxfId="383" priority="261">
      <formula>AND($G$106="да",$G$107="")</formula>
    </cfRule>
    <cfRule type="expression" dxfId="382" priority="262">
      <formula>$G$106=""</formula>
    </cfRule>
  </conditionalFormatting>
  <conditionalFormatting sqref="J113:J115">
    <cfRule type="expression" dxfId="381" priority="259">
      <formula>OR($G$112="",$G$112="нет")</formula>
    </cfRule>
  </conditionalFormatting>
  <conditionalFormatting sqref="I144:J144">
    <cfRule type="expression" dxfId="380" priority="220">
      <formula>$G$17=""</formula>
    </cfRule>
    <cfRule type="expression" dxfId="379" priority="222">
      <formula>AND($G$17="нет",$G$23="")</formula>
    </cfRule>
    <cfRule type="expression" dxfId="378" priority="223">
      <formula>AND($G$62="да",$G$64="")</formula>
    </cfRule>
    <cfRule type="expression" dxfId="377" priority="224">
      <formula>AND($G$23="нет",$G$62="")</formula>
    </cfRule>
    <cfRule type="expression" dxfId="376" priority="225">
      <formula>AND($G$23="да",$G$37="")</formula>
    </cfRule>
    <cfRule type="expression" dxfId="375" priority="226">
      <formula>AND($G$37="да",$G$47="")</formula>
    </cfRule>
    <cfRule type="expression" dxfId="374" priority="228">
      <formula>AND($G$17="да",$G$67="")</formula>
    </cfRule>
    <cfRule type="expression" dxfId="373" priority="241">
      <formula>AND($G$129="да",$G$140="")</formula>
    </cfRule>
    <cfRule type="expression" dxfId="372" priority="242">
      <formula>AND($G$129="да",$G$140="да",$G$142="")</formula>
    </cfRule>
    <cfRule type="expression" dxfId="371" priority="243">
      <formula>AND($G$67="нет",$G$129="")</formula>
    </cfRule>
    <cfRule type="expression" dxfId="370" priority="253">
      <formula>AND($G$107="да",$G$108="")</formula>
    </cfRule>
    <cfRule type="expression" dxfId="369" priority="256">
      <formula>AND($G$106="да",$G$107="")</formula>
    </cfRule>
    <cfRule type="expression" dxfId="368" priority="257">
      <formula>AND($G$71="да",$G$106="")</formula>
    </cfRule>
    <cfRule type="expression" dxfId="367" priority="258">
      <formula>AND($G$71="нет",$G$112="")</formula>
    </cfRule>
  </conditionalFormatting>
  <conditionalFormatting sqref="J118:J121">
    <cfRule type="expression" dxfId="366" priority="252">
      <formula>$G$117=""</formula>
    </cfRule>
  </conditionalFormatting>
  <conditionalFormatting sqref="J119:J121">
    <cfRule type="expression" dxfId="365" priority="251">
      <formula>OR(AND($G$117="нет",$G$118=""),AND($G$117="нет",$G$118="нет"))</formula>
    </cfRule>
  </conditionalFormatting>
  <conditionalFormatting sqref="J128:J129">
    <cfRule type="expression" dxfId="364" priority="227">
      <formula>$G$117=""</formula>
    </cfRule>
    <cfRule type="expression" dxfId="363" priority="250">
      <formula>AND($G$117="нет",$G$118="")</formula>
    </cfRule>
  </conditionalFormatting>
  <conditionalFormatting sqref="I118:J118">
    <cfRule type="expression" dxfId="362" priority="246">
      <formula>$G$117="да"</formula>
    </cfRule>
  </conditionalFormatting>
  <conditionalFormatting sqref="J123:J125">
    <cfRule type="expression" dxfId="361" priority="245">
      <formula>OR($G$121="",$G$121="нет")</formula>
    </cfRule>
  </conditionalFormatting>
  <conditionalFormatting sqref="J130:J143">
    <cfRule type="expression" dxfId="360" priority="244">
      <formula>OR($G$129="",$G$129="нет")</formula>
    </cfRule>
  </conditionalFormatting>
  <conditionalFormatting sqref="J131:J135">
    <cfRule type="expression" dxfId="359" priority="240">
      <formula>OR($G$130="",$G$130="нет")</formula>
    </cfRule>
  </conditionalFormatting>
  <conditionalFormatting sqref="J132:J135">
    <cfRule type="expression" dxfId="358" priority="239">
      <formula>OR($G$131="",$G$131="нет")</formula>
    </cfRule>
  </conditionalFormatting>
  <conditionalFormatting sqref="I136:J136">
    <cfRule type="expression" dxfId="357" priority="236">
      <formula>AND($G$130="да",$G$131="")</formula>
    </cfRule>
    <cfRule type="expression" dxfId="356" priority="238">
      <formula>$G$130=""</formula>
    </cfRule>
  </conditionalFormatting>
  <conditionalFormatting sqref="J137:J139">
    <cfRule type="expression" dxfId="355" priority="235">
      <formula>OR($G$136="",$G$136="нет")</formula>
    </cfRule>
  </conditionalFormatting>
  <conditionalFormatting sqref="I139:J139">
    <cfRule type="expression" dxfId="354" priority="234">
      <formula>OR($G$138="",$G$138="нет")</formula>
    </cfRule>
  </conditionalFormatting>
  <conditionalFormatting sqref="I140:J140">
    <cfRule type="expression" dxfId="353" priority="229">
      <formula>$G$136=""</formula>
    </cfRule>
    <cfRule type="expression" dxfId="352" priority="230">
      <formula>$G$130=""</formula>
    </cfRule>
    <cfRule type="expression" dxfId="351" priority="233">
      <formula>AND($G$136="да",$G$138="")</formula>
    </cfRule>
  </conditionalFormatting>
  <conditionalFormatting sqref="J141:J143">
    <cfRule type="expression" dxfId="350" priority="232">
      <formula>OR($G$140="",$G$140="нет")</formula>
    </cfRule>
  </conditionalFormatting>
  <conditionalFormatting sqref="I143:J143">
    <cfRule type="expression" dxfId="349" priority="231">
      <formula>OR($G$142="",$G$142="нет")</formula>
    </cfRule>
  </conditionalFormatting>
  <conditionalFormatting sqref="F54:H54">
    <cfRule type="expression" dxfId="348" priority="217">
      <formula>OR($G$17="",$G$17="да")</formula>
    </cfRule>
  </conditionalFormatting>
  <conditionalFormatting sqref="F54:H54">
    <cfRule type="expression" dxfId="347" priority="216">
      <formula>OR($G$23="",$G$23="да")</formula>
    </cfRule>
  </conditionalFormatting>
  <conditionalFormatting sqref="E54">
    <cfRule type="expression" dxfId="346" priority="215">
      <formula>OR($G$17="",$G$17="да")</formula>
    </cfRule>
  </conditionalFormatting>
  <conditionalFormatting sqref="E54">
    <cfRule type="expression" dxfId="345" priority="214">
      <formula>OR($G$23="",$G$23="да")</formula>
    </cfRule>
  </conditionalFormatting>
  <conditionalFormatting sqref="K54">
    <cfRule type="expression" dxfId="344" priority="213">
      <formula>OR($G$17="",$G$17="да")</formula>
    </cfRule>
  </conditionalFormatting>
  <conditionalFormatting sqref="K54">
    <cfRule type="expression" dxfId="343" priority="212">
      <formula>OR($G$23="",$G$23="да")</formula>
    </cfRule>
  </conditionalFormatting>
  <conditionalFormatting sqref="I54:J54">
    <cfRule type="expression" dxfId="342" priority="211">
      <formula>OR($G$17="",$G$17="да")</formula>
    </cfRule>
  </conditionalFormatting>
  <conditionalFormatting sqref="I54:J54">
    <cfRule type="expression" dxfId="341" priority="210">
      <formula>OR($G$23="",$G$23="да")</formula>
    </cfRule>
  </conditionalFormatting>
  <conditionalFormatting sqref="B55:K55">
    <cfRule type="expression" dxfId="340" priority="192">
      <formula>$G$51="нет"</formula>
    </cfRule>
    <cfRule type="expression" dxfId="339" priority="208">
      <formula>$G$52="нет"</formula>
    </cfRule>
  </conditionalFormatting>
  <conditionalFormatting sqref="B170:D170">
    <cfRule type="expression" dxfId="338" priority="207">
      <formula>OR($G$169="",$G$169="нет")</formula>
    </cfRule>
  </conditionalFormatting>
  <conditionalFormatting sqref="E170">
    <cfRule type="expression" dxfId="337" priority="206">
      <formula>OR($G$169="",$G$169="нет")</formula>
    </cfRule>
  </conditionalFormatting>
  <conditionalFormatting sqref="K170">
    <cfRule type="expression" dxfId="336" priority="205">
      <formula>OR($G$169="",$G$169="нет")</formula>
    </cfRule>
  </conditionalFormatting>
  <conditionalFormatting sqref="I170:J170">
    <cfRule type="expression" dxfId="335" priority="204">
      <formula>OR($G$169="",$G$169="нет")</formula>
    </cfRule>
  </conditionalFormatting>
  <conditionalFormatting sqref="B171:K171">
    <cfRule type="expression" dxfId="334" priority="202">
      <formula>$G$23="да"</formula>
    </cfRule>
    <cfRule type="expression" dxfId="333" priority="203">
      <formula>$G$17="да"</formula>
    </cfRule>
  </conditionalFormatting>
  <conditionalFormatting sqref="B21:D22">
    <cfRule type="expression" dxfId="332" priority="201">
      <formula>OR($G$17="",$G$17="да")</formula>
    </cfRule>
  </conditionalFormatting>
  <conditionalFormatting sqref="B21:D22">
    <cfRule type="expression" dxfId="331" priority="200">
      <formula>OR($G$19="",$G$19="нет")</formula>
    </cfRule>
  </conditionalFormatting>
  <conditionalFormatting sqref="E21:E22">
    <cfRule type="expression" dxfId="330" priority="199">
      <formula>OR($G$17="",$G$17="да")</formula>
    </cfRule>
  </conditionalFormatting>
  <conditionalFormatting sqref="E21:E22">
    <cfRule type="expression" dxfId="329" priority="198">
      <formula>OR($G$19="",$G$19="нет")</formula>
    </cfRule>
  </conditionalFormatting>
  <conditionalFormatting sqref="K21:K22">
    <cfRule type="expression" dxfId="328" priority="197">
      <formula>OR($G$17="",$G$17="да")</formula>
    </cfRule>
  </conditionalFormatting>
  <conditionalFormatting sqref="K21:K22">
    <cfRule type="expression" dxfId="327" priority="196">
      <formula>OR($G$19="",$G$19="нет")</formula>
    </cfRule>
  </conditionalFormatting>
  <conditionalFormatting sqref="J21:J22">
    <cfRule type="expression" dxfId="326" priority="195">
      <formula>OR($G$17="",$G$17="да")</formula>
    </cfRule>
  </conditionalFormatting>
  <conditionalFormatting sqref="J21:J22">
    <cfRule type="expression" dxfId="325" priority="193">
      <formula>$J$20="ок"</formula>
    </cfRule>
    <cfRule type="expression" dxfId="324" priority="194">
      <formula>OR($G$19="",$G$19="нет")</formula>
    </cfRule>
  </conditionalFormatting>
  <conditionalFormatting sqref="B26:K26">
    <cfRule type="expression" dxfId="323" priority="191">
      <formula>$G$19="нет"</formula>
    </cfRule>
  </conditionalFormatting>
  <conditionalFormatting sqref="B54:K54">
    <cfRule type="expression" dxfId="322" priority="190">
      <formula>$G$19="нет"</formula>
    </cfRule>
  </conditionalFormatting>
  <conditionalFormatting sqref="B144:K144">
    <cfRule type="expression" dxfId="321" priority="186">
      <formula>AND($G$67="да",$G$71="")</formula>
    </cfRule>
  </conditionalFormatting>
  <conditionalFormatting sqref="G145">
    <cfRule type="expression" dxfId="320" priority="140">
      <formula>AND($G$69="нет",$G$70="нет",OR($G$106="нет",$G$107="нет",$G$108="нет",$G$108="да"))</formula>
    </cfRule>
    <cfRule type="expression" dxfId="319" priority="181">
      <formula>AND($G$23="нет",OR($G$62="нет",$G$64="нет",$G$64="да"))</formula>
    </cfRule>
    <cfRule type="expression" dxfId="318" priority="182">
      <formula>AND($G$23="да",OR($G$37="нет",$G$47="да",$G$47="нет"))</formula>
    </cfRule>
    <cfRule type="expression" dxfId="317" priority="183">
      <formula>AND($G$67="нет",OR($G$129="нет",$G$140="нет",$G$142="да",$G$142="нет"))</formula>
    </cfRule>
    <cfRule type="expression" dxfId="316" priority="184">
      <formula>OR($G$106="нет",$G$107="нет",$G$108="нет",$G$108="да")</formula>
    </cfRule>
  </conditionalFormatting>
  <conditionalFormatting sqref="B145">
    <cfRule type="expression" dxfId="315" priority="138">
      <formula>AND($G$69="нет",$G$70="нет",OR($G$106="нет",$G$107="нет",$G$108="нет",$G$108="да"))</formula>
    </cfRule>
    <cfRule type="expression" dxfId="314" priority="176">
      <formula>AND($G$23="нет",OR($G$62="нет",$G$64="нет",$G$64="да"))</formula>
    </cfRule>
    <cfRule type="expression" dxfId="313" priority="177">
      <formula>AND($G$23="да",OR($G$37="нет",$G$47="да",$G$47="нет"))</formula>
    </cfRule>
    <cfRule type="expression" dxfId="312" priority="178">
      <formula>AND($G$67="нет",OR($G$129="нет",$G$140="нет",$G$142="да",$G$142="нет"))</formula>
    </cfRule>
    <cfRule type="expression" dxfId="311" priority="179">
      <formula>OR($G$106="нет",$G$107="нет",$G$108="нет",$G$108="да")</formula>
    </cfRule>
  </conditionalFormatting>
  <conditionalFormatting sqref="C145">
    <cfRule type="expression" dxfId="310" priority="139">
      <formula>AND($G$69="нет",$G$70="нет",OR($G$106="нет",$G$107="нет",$G$108="нет",$G$108="да"))</formula>
    </cfRule>
    <cfRule type="expression" dxfId="309" priority="171">
      <formula>AND($G$23="нет",OR($G$62="нет",$G$64="нет",$G$64="да"))</formula>
    </cfRule>
    <cfRule type="expression" dxfId="308" priority="172">
      <formula>AND($G$23="да",OR($G$37="нет",$G$47="да",$G$47="нет"))</formula>
    </cfRule>
    <cfRule type="expression" dxfId="307" priority="173">
      <formula>AND($G$67="нет",OR($G$129="нет",$G$140="нет",$G$142="да",$G$142="нет"))</formula>
    </cfRule>
    <cfRule type="expression" dxfId="306" priority="174">
      <formula>OR($G$106="нет",$G$107="нет",$G$108="нет",$G$108="да")</formula>
    </cfRule>
  </conditionalFormatting>
  <conditionalFormatting sqref="D145">
    <cfRule type="expression" dxfId="305" priority="166">
      <formula>AND($G$23="нет",OR($G$62="нет",$G$64="нет",$G$64="да"))</formula>
    </cfRule>
    <cfRule type="expression" dxfId="304" priority="167">
      <formula>AND($G$23="да",OR($G$37="нет",$G$47="да",$G$47="нет"))</formula>
    </cfRule>
    <cfRule type="expression" dxfId="303" priority="168">
      <formula>AND($G$67="нет",OR($G$129="нет",$G$140="нет",$G$142="да",$G$142="нет"))</formula>
    </cfRule>
    <cfRule type="expression" dxfId="302" priority="169">
      <formula>OR($G$106="нет",$G$107="нет",$G$108="нет",$G$108="да")</formula>
    </cfRule>
  </conditionalFormatting>
  <conditionalFormatting sqref="E145">
    <cfRule type="expression" dxfId="301" priority="161">
      <formula>AND($G$23="нет",OR($G$62="нет",$G$64="нет",$G$64="да"))</formula>
    </cfRule>
    <cfRule type="expression" dxfId="300" priority="162">
      <formula>AND($G$23="да",OR($G$37="нет",$G$47="да",$G$47="нет"))</formula>
    </cfRule>
    <cfRule type="expression" dxfId="299" priority="163">
      <formula>AND($G$67="нет",OR($G$129="нет",$G$140="нет",$G$142="да",$G$142="нет"))</formula>
    </cfRule>
    <cfRule type="expression" dxfId="298" priority="164">
      <formula>OR($G$106="нет",$G$107="нет",$G$108="нет",$G$108="да")</formula>
    </cfRule>
  </conditionalFormatting>
  <conditionalFormatting sqref="F145">
    <cfRule type="expression" dxfId="297" priority="156">
      <formula>AND($G$23="нет",OR($G$62="нет",$G$64="нет",$G$64="да"))</formula>
    </cfRule>
    <cfRule type="expression" dxfId="296" priority="157">
      <formula>AND($G$23="да",OR($G$37="нет",$G$47="да",$G$47="нет"))</formula>
    </cfRule>
    <cfRule type="expression" dxfId="295" priority="158">
      <formula>AND($G$67="нет",OR($G$129="нет",$G$140="нет",$G$142="да",$G$142="нет"))</formula>
    </cfRule>
    <cfRule type="expression" dxfId="294" priority="159">
      <formula>OR($G$106="нет",$G$107="нет",$G$108="нет",$G$108="да")</formula>
    </cfRule>
  </conditionalFormatting>
  <conditionalFormatting sqref="H145">
    <cfRule type="expression" dxfId="293" priority="151">
      <formula>AND($G$23="нет",OR($G$62="нет",$G$64="нет",$G$64="да"))</formula>
    </cfRule>
    <cfRule type="expression" dxfId="292" priority="152">
      <formula>AND($G$23="да",OR($G$37="нет",$G$47="да",$G$47="нет"))</formula>
    </cfRule>
    <cfRule type="expression" dxfId="291" priority="153">
      <formula>AND($G$67="нет",OR($G$129="нет",$G$140="нет",$G$142="да",$G$142="нет"))</formula>
    </cfRule>
    <cfRule type="expression" dxfId="290" priority="154">
      <formula>OR($G$106="нет",$G$107="нет",$G$108="нет",$G$108="да")</formula>
    </cfRule>
  </conditionalFormatting>
  <conditionalFormatting sqref="I145:J145">
    <cfRule type="expression" dxfId="289" priority="146">
      <formula>AND($G$23="нет",OR($G$62="нет",$G$64="нет",$G$64="да"))</formula>
    </cfRule>
    <cfRule type="expression" dxfId="288" priority="147">
      <formula>AND($G$23="да",OR($G$37="нет",$G$47="да",$G$47="нет"))</formula>
    </cfRule>
    <cfRule type="expression" dxfId="287" priority="148">
      <formula>AND($G$67="нет",OR($G$129="нет",$G$140="нет",$G$142="да",$G$142="нет"))</formula>
    </cfRule>
    <cfRule type="expression" dxfId="286" priority="149">
      <formula>OR($G$106="нет",$G$107="нет",$G$108="нет",$G$108="да")</formula>
    </cfRule>
  </conditionalFormatting>
  <conditionalFormatting sqref="K145">
    <cfRule type="expression" dxfId="285" priority="137">
      <formula>AND($G$69="нет",$G$70="нет",OR($G$106="нет",$G$107="нет",$G$108="нет",$G$108="да"))</formula>
    </cfRule>
    <cfRule type="expression" dxfId="284" priority="141">
      <formula>AND($G$23="нет",OR($G$62="нет",$G$64="нет",$G$64="да"))</formula>
    </cfRule>
    <cfRule type="expression" dxfId="283" priority="142">
      <formula>AND($G$23="да",OR($G$37="нет",$G$47="да",$G$47="нет"))</formula>
    </cfRule>
    <cfRule type="expression" dxfId="282" priority="143">
      <formula>AND($G$67="нет",OR($G$129="нет",$G$140="нет",$G$142="да",$G$142="нет"))</formula>
    </cfRule>
    <cfRule type="expression" dxfId="281" priority="144">
      <formula>OR($G$106="нет",$G$107="нет",$G$108="нет",$G$108="да")</formula>
    </cfRule>
  </conditionalFormatting>
  <conditionalFormatting sqref="F73:H73">
    <cfRule type="expression" dxfId="280" priority="136">
      <formula>OR($G$17="нет",$G$17="")</formula>
    </cfRule>
  </conditionalFormatting>
  <conditionalFormatting sqref="F73:H73">
    <cfRule type="expression" dxfId="279" priority="135">
      <formula>OR($G$67="",$G$67="нет")</formula>
    </cfRule>
  </conditionalFormatting>
  <conditionalFormatting sqref="E73">
    <cfRule type="expression" dxfId="278" priority="134">
      <formula>OR($G$17="нет",$G$17="")</formula>
    </cfRule>
  </conditionalFormatting>
  <conditionalFormatting sqref="E73">
    <cfRule type="expression" dxfId="277" priority="133">
      <formula>OR($G$67="",$G$67="нет")</formula>
    </cfRule>
  </conditionalFormatting>
  <conditionalFormatting sqref="K73">
    <cfRule type="expression" dxfId="276" priority="132">
      <formula>OR($G$17="нет",$G$17="")</formula>
    </cfRule>
  </conditionalFormatting>
  <conditionalFormatting sqref="K73">
    <cfRule type="expression" dxfId="275" priority="131">
      <formula>OR($G$67="",$G$67="нет")</formula>
    </cfRule>
  </conditionalFormatting>
  <conditionalFormatting sqref="I73:J73">
    <cfRule type="expression" dxfId="274" priority="130">
      <formula>OR($G$17="нет",$G$17="")</formula>
    </cfRule>
  </conditionalFormatting>
  <conditionalFormatting sqref="I73:J73">
    <cfRule type="expression" dxfId="273" priority="129">
      <formula>OR($G$67="",$G$67="нет")</formula>
    </cfRule>
  </conditionalFormatting>
  <conditionalFormatting sqref="F25:H25">
    <cfRule type="expression" dxfId="272" priority="128">
      <formula>OR($G$17="",$G$17="да")</formula>
    </cfRule>
  </conditionalFormatting>
  <conditionalFormatting sqref="F25:H25">
    <cfRule type="expression" dxfId="271" priority="127">
      <formula>OR($G$23="",$G$23="нет")</formula>
    </cfRule>
  </conditionalFormatting>
  <conditionalFormatting sqref="E25">
    <cfRule type="expression" dxfId="270" priority="126">
      <formula>OR($G$17="",$G$17="да")</formula>
    </cfRule>
  </conditionalFormatting>
  <conditionalFormatting sqref="E25">
    <cfRule type="expression" dxfId="269" priority="98">
      <formula>OR($G$23="",$G$23="нет")</formula>
    </cfRule>
  </conditionalFormatting>
  <conditionalFormatting sqref="F122:H122">
    <cfRule type="expression" dxfId="268" priority="97">
      <formula>OR($G$17="нет",$G$17="")</formula>
    </cfRule>
  </conditionalFormatting>
  <conditionalFormatting sqref="B122:D122">
    <cfRule type="expression" dxfId="267" priority="96">
      <formula>OR($G$67="",$G$67="да")</formula>
    </cfRule>
  </conditionalFormatting>
  <conditionalFormatting sqref="B122:D122">
    <cfRule type="expression" dxfId="266" priority="95">
      <formula>$G$117=""</formula>
    </cfRule>
  </conditionalFormatting>
  <conditionalFormatting sqref="B122:D122">
    <cfRule type="expression" dxfId="265" priority="94">
      <formula>OR(AND($G$117="нет",$G$118=""),AND($G$117="нет",$G$118="нет"))</formula>
    </cfRule>
  </conditionalFormatting>
  <conditionalFormatting sqref="E122">
    <cfRule type="expression" dxfId="264" priority="93">
      <formula>OR($G$17="нет",$G$17="")</formula>
    </cfRule>
  </conditionalFormatting>
  <conditionalFormatting sqref="E122">
    <cfRule type="expression" dxfId="263" priority="92">
      <formula>OR($G$67="",$G$67="да")</formula>
    </cfRule>
  </conditionalFormatting>
  <conditionalFormatting sqref="E122">
    <cfRule type="expression" dxfId="262" priority="91">
      <formula>$G$117=""</formula>
    </cfRule>
  </conditionalFormatting>
  <conditionalFormatting sqref="E122">
    <cfRule type="expression" dxfId="261" priority="90">
      <formula>OR(AND($G$117="нет",$G$118=""),AND($G$117="нет",$G$118="нет"))</formula>
    </cfRule>
  </conditionalFormatting>
  <conditionalFormatting sqref="K122">
    <cfRule type="expression" dxfId="260" priority="89">
      <formula>OR($G$17="нет",$G$17="")</formula>
    </cfRule>
  </conditionalFormatting>
  <conditionalFormatting sqref="K122">
    <cfRule type="expression" dxfId="259" priority="88">
      <formula>OR($G$67="",$G$67="да")</formula>
    </cfRule>
  </conditionalFormatting>
  <conditionalFormatting sqref="K122">
    <cfRule type="expression" dxfId="258" priority="87">
      <formula>$G$117=""</formula>
    </cfRule>
  </conditionalFormatting>
  <conditionalFormatting sqref="K122">
    <cfRule type="expression" dxfId="257" priority="86">
      <formula>OR(AND($G$117="нет",$G$118=""),AND($G$117="нет",$G$118="нет"))</formula>
    </cfRule>
  </conditionalFormatting>
  <conditionalFormatting sqref="I122:J122">
    <cfRule type="expression" dxfId="256" priority="85">
      <formula>OR($G$17="нет",$G$17="")</formula>
    </cfRule>
  </conditionalFormatting>
  <conditionalFormatting sqref="I122:J122">
    <cfRule type="expression" dxfId="255" priority="84">
      <formula>OR($G$67="",$G$67="да")</formula>
    </cfRule>
  </conditionalFormatting>
  <conditionalFormatting sqref="I122:J122">
    <cfRule type="expression" dxfId="254" priority="83">
      <formula>$G$117=""</formula>
    </cfRule>
  </conditionalFormatting>
  <conditionalFormatting sqref="I122:J122">
    <cfRule type="expression" dxfId="253" priority="80">
      <formula>OR(AND($G$117="нет",$G$118=""),AND($G$117="нет",$G$118="нет"))</formula>
    </cfRule>
  </conditionalFormatting>
  <conditionalFormatting sqref="B74:K77">
    <cfRule type="expression" dxfId="252" priority="79">
      <formula>OR($G$69="нет",$G$69="")</formula>
    </cfRule>
  </conditionalFormatting>
  <conditionalFormatting sqref="B70:K70">
    <cfRule type="expression" dxfId="251" priority="78">
      <formula>$G$69=""</formula>
    </cfRule>
  </conditionalFormatting>
  <conditionalFormatting sqref="H87">
    <cfRule type="expression" dxfId="250" priority="77">
      <formula>NOT($G$70="да")</formula>
    </cfRule>
  </conditionalFormatting>
  <conditionalFormatting sqref="B89:K89">
    <cfRule type="expression" dxfId="249" priority="76">
      <formula>$G$70=""</formula>
    </cfRule>
  </conditionalFormatting>
  <conditionalFormatting sqref="B73:K73 B84:K88">
    <cfRule type="expression" dxfId="248" priority="75">
      <formula>AND($G$69="нет",$G$70="нет",$G$89="нет",$G$93="нет",OR($G$106="нет",AND($G$106="да",$G$107="нет")),$G$169="нет")</formula>
    </cfRule>
  </conditionalFormatting>
  <conditionalFormatting sqref="E57">
    <cfRule type="expression" dxfId="247" priority="74">
      <formula>OR($G$58="",$G$58="нет")</formula>
    </cfRule>
  </conditionalFormatting>
  <conditionalFormatting sqref="E57">
    <cfRule type="expression" dxfId="246" priority="73">
      <formula>OR($G$60="",$G$60="нет")</formula>
    </cfRule>
  </conditionalFormatting>
  <conditionalFormatting sqref="I146:I147">
    <cfRule type="expression" dxfId="245" priority="72">
      <formula>OR($G$145="",$G$145="нет")</formula>
    </cfRule>
  </conditionalFormatting>
  <conditionalFormatting sqref="I149:I160">
    <cfRule type="expression" dxfId="244" priority="71">
      <formula>$G$148="нет"</formula>
    </cfRule>
  </conditionalFormatting>
  <conditionalFormatting sqref="I150:I151">
    <cfRule type="expression" dxfId="243" priority="70">
      <formula>OR($G$149="нет",$G$149="")</formula>
    </cfRule>
  </conditionalFormatting>
  <conditionalFormatting sqref="I153:I154">
    <cfRule type="expression" dxfId="242" priority="69">
      <formula>OR($G$152="",$G$152="нет")</formula>
    </cfRule>
  </conditionalFormatting>
  <conditionalFormatting sqref="I156:I157">
    <cfRule type="expression" dxfId="241" priority="68">
      <formula>OR($G$155="",$G$155="нет")</formula>
    </cfRule>
  </conditionalFormatting>
  <conditionalFormatting sqref="I159:I160">
    <cfRule type="expression" dxfId="240" priority="67">
      <formula>OR($G$158="нет",$G$158="")</formula>
    </cfRule>
  </conditionalFormatting>
  <conditionalFormatting sqref="I163:I164">
    <cfRule type="expression" dxfId="239" priority="66">
      <formula>$G$161=""</formula>
    </cfRule>
  </conditionalFormatting>
  <conditionalFormatting sqref="I165:I168">
    <cfRule type="expression" dxfId="238" priority="65">
      <formula>OR($G$164="",$G$164="нет")</formula>
    </cfRule>
  </conditionalFormatting>
  <conditionalFormatting sqref="I172:I173">
    <cfRule type="expression" dxfId="237" priority="64">
      <formula>$G$169=""</formula>
    </cfRule>
  </conditionalFormatting>
  <conditionalFormatting sqref="I174:I175">
    <cfRule type="expression" dxfId="236" priority="63">
      <formula>OR($G$173="",$G$173="нет")</formula>
    </cfRule>
  </conditionalFormatting>
  <conditionalFormatting sqref="I178:I181">
    <cfRule type="expression" dxfId="235" priority="62">
      <formula>$G$177="нет"</formula>
    </cfRule>
  </conditionalFormatting>
  <conditionalFormatting sqref="I179:I181">
    <cfRule type="expression" dxfId="234" priority="59">
      <formula>$G$178=""</formula>
    </cfRule>
    <cfRule type="expression" dxfId="233" priority="61">
      <formula>$G$177=""</formula>
    </cfRule>
  </conditionalFormatting>
  <conditionalFormatting sqref="I179:I180">
    <cfRule type="expression" dxfId="232" priority="60">
      <formula>$G$178="нет"</formula>
    </cfRule>
  </conditionalFormatting>
  <conditionalFormatting sqref="I186:I187">
    <cfRule type="expression" dxfId="231" priority="58">
      <formula>$G$182=""</formula>
    </cfRule>
  </conditionalFormatting>
  <conditionalFormatting sqref="I186">
    <cfRule type="expression" dxfId="230" priority="57">
      <formula>$G$182="нет"</formula>
    </cfRule>
  </conditionalFormatting>
  <conditionalFormatting sqref="I188:I189">
    <cfRule type="expression" dxfId="229" priority="56">
      <formula>$G$182=""</formula>
    </cfRule>
  </conditionalFormatting>
  <conditionalFormatting sqref="I190:I191">
    <cfRule type="expression" dxfId="228" priority="55">
      <formula>OR($G$189="",$G$189="нет")</formula>
    </cfRule>
  </conditionalFormatting>
  <conditionalFormatting sqref="I66:I69">
    <cfRule type="expression" dxfId="227" priority="54">
      <formula>OR($G$17="нет",$G$17="")</formula>
    </cfRule>
  </conditionalFormatting>
  <conditionalFormatting sqref="I18:I20">
    <cfRule type="expression" dxfId="226" priority="53">
      <formula>OR($G$17="",$G$17="да")</formula>
    </cfRule>
  </conditionalFormatting>
  <conditionalFormatting sqref="I24:I28">
    <cfRule type="expression" dxfId="225" priority="52">
      <formula>OR($G$23="",$G$23="нет")</formula>
    </cfRule>
  </conditionalFormatting>
  <conditionalFormatting sqref="I31:I32">
    <cfRule type="expression" dxfId="224" priority="51">
      <formula>OR($G$29="",$G$29="нет")</formula>
    </cfRule>
  </conditionalFormatting>
  <conditionalFormatting sqref="I34:I36">
    <cfRule type="expression" dxfId="223" priority="50">
      <formula>OR($G$33="",$G$33="нет")</formula>
    </cfRule>
  </conditionalFormatting>
  <conditionalFormatting sqref="I38:I49">
    <cfRule type="expression" dxfId="222" priority="49">
      <formula>OR($G$37="",$G$37="нет")</formula>
    </cfRule>
  </conditionalFormatting>
  <conditionalFormatting sqref="I39:I40">
    <cfRule type="expression" dxfId="221" priority="48">
      <formula>OR($G$38="",$G$38="нет")</formula>
    </cfRule>
  </conditionalFormatting>
  <conditionalFormatting sqref="I42:I43">
    <cfRule type="expression" dxfId="220" priority="47">
      <formula>OR($G$41="",$G$41="нет")</formula>
    </cfRule>
  </conditionalFormatting>
  <conditionalFormatting sqref="I45:I46">
    <cfRule type="expression" dxfId="219" priority="46">
      <formula>OR($G$44="",$G$44="нет")</formula>
    </cfRule>
  </conditionalFormatting>
  <conditionalFormatting sqref="I48:I49">
    <cfRule type="expression" dxfId="218" priority="45">
      <formula>OR($G$47="",$G$47="нет")</formula>
    </cfRule>
  </conditionalFormatting>
  <conditionalFormatting sqref="I50:I53">
    <cfRule type="expression" dxfId="217" priority="44">
      <formula>OR($G$23="",$G$23="да")</formula>
    </cfRule>
  </conditionalFormatting>
  <conditionalFormatting sqref="I52:I53">
    <cfRule type="expression" dxfId="216" priority="43">
      <formula>OR($G$51="",$G$51="нет")</formula>
    </cfRule>
  </conditionalFormatting>
  <conditionalFormatting sqref="I59:I61">
    <cfRule type="expression" dxfId="215" priority="42">
      <formula>OR($G$58="",$G$58="нет")</formula>
    </cfRule>
  </conditionalFormatting>
  <conditionalFormatting sqref="I63:I65">
    <cfRule type="expression" dxfId="214" priority="41">
      <formula>OR($G$62="",$G$62="нет")</formula>
    </cfRule>
  </conditionalFormatting>
  <conditionalFormatting sqref="I68:I69">
    <cfRule type="expression" dxfId="213" priority="40">
      <formula>OR($G$67="",$G$67="нет")</formula>
    </cfRule>
  </conditionalFormatting>
  <conditionalFormatting sqref="I116:I121">
    <cfRule type="expression" dxfId="212" priority="39">
      <formula>OR($G$67="",$G$67="да")</formula>
    </cfRule>
  </conditionalFormatting>
  <conditionalFormatting sqref="I71:I72">
    <cfRule type="expression" dxfId="211" priority="38">
      <formula>OR($G$69="",AND($G$69="нет",$G$70="нет"),AND($G$69="нет",$G$70=""))</formula>
    </cfRule>
  </conditionalFormatting>
  <conditionalFormatting sqref="I111:I115">
    <cfRule type="expression" dxfId="210" priority="37">
      <formula>OR($G$71="",$G$71="да")</formula>
    </cfRule>
  </conditionalFormatting>
  <conditionalFormatting sqref="I78:I80">
    <cfRule type="expression" dxfId="209" priority="36">
      <formula>$G$76=""</formula>
    </cfRule>
  </conditionalFormatting>
  <conditionalFormatting sqref="I78:I80">
    <cfRule type="expression" dxfId="208" priority="35">
      <formula>$G$76="нет"</formula>
    </cfRule>
  </conditionalFormatting>
  <conditionalFormatting sqref="I90:I92">
    <cfRule type="expression" dxfId="207" priority="34">
      <formula>OR($G$89="",$G$89="нет")</formula>
    </cfRule>
  </conditionalFormatting>
  <conditionalFormatting sqref="I94:I105">
    <cfRule type="expression" dxfId="206" priority="33">
      <formula>OR($G$93="",$G$93="нет")</formula>
    </cfRule>
  </conditionalFormatting>
  <conditionalFormatting sqref="I95:I96">
    <cfRule type="expression" dxfId="205" priority="32">
      <formula>OR($G$94="",$G$94="нет")</formula>
    </cfRule>
  </conditionalFormatting>
  <conditionalFormatting sqref="I98:I99">
    <cfRule type="expression" dxfId="204" priority="31">
      <formula>OR($G$97="",$G$97="нет")</formula>
    </cfRule>
  </conditionalFormatting>
  <conditionalFormatting sqref="I101:I102">
    <cfRule type="expression" dxfId="203" priority="30">
      <formula>OR($G$100="",$G$100="нет")</formula>
    </cfRule>
  </conditionalFormatting>
  <conditionalFormatting sqref="I104:I105">
    <cfRule type="expression" dxfId="202" priority="29">
      <formula>OR($G$103="",$G$103="нет")</formula>
    </cfRule>
  </conditionalFormatting>
  <conditionalFormatting sqref="I107:I110">
    <cfRule type="expression" dxfId="201" priority="28">
      <formula>OR($G$106="",$G$106="нет")</formula>
    </cfRule>
  </conditionalFormatting>
  <conditionalFormatting sqref="I108:I110">
    <cfRule type="expression" dxfId="200" priority="27">
      <formula>OR($G$107="",$G$107="нет")</formula>
    </cfRule>
  </conditionalFormatting>
  <conditionalFormatting sqref="I111:I112">
    <cfRule type="expression" dxfId="199" priority="24">
      <formula>AND($G$107="да",$G$108="")</formula>
    </cfRule>
    <cfRule type="expression" dxfId="198" priority="25">
      <formula>AND($G$106="да",$G$107="")</formula>
    </cfRule>
    <cfRule type="expression" dxfId="197" priority="26">
      <formula>$G$106=""</formula>
    </cfRule>
  </conditionalFormatting>
  <conditionalFormatting sqref="I113:I115">
    <cfRule type="expression" dxfId="196" priority="23">
      <formula>OR($G$112="",$G$112="нет")</formula>
    </cfRule>
  </conditionalFormatting>
  <conditionalFormatting sqref="I118:I121">
    <cfRule type="expression" dxfId="195" priority="22">
      <formula>$G$117=""</formula>
    </cfRule>
  </conditionalFormatting>
  <conditionalFormatting sqref="I119:I121">
    <cfRule type="expression" dxfId="194" priority="21">
      <formula>OR(AND($G$117="нет",$G$118=""),AND($G$117="нет",$G$118="нет"))</formula>
    </cfRule>
  </conditionalFormatting>
  <conditionalFormatting sqref="I128:I129">
    <cfRule type="expression" dxfId="193" priority="13">
      <formula>$G$117=""</formula>
    </cfRule>
    <cfRule type="expression" dxfId="192" priority="20">
      <formula>AND($G$117="нет",$G$118="")</formula>
    </cfRule>
  </conditionalFormatting>
  <conditionalFormatting sqref="I123:I125">
    <cfRule type="expression" dxfId="191" priority="19">
      <formula>OR($G$121="",$G$121="нет")</formula>
    </cfRule>
  </conditionalFormatting>
  <conditionalFormatting sqref="I130:I143">
    <cfRule type="expression" dxfId="190" priority="18">
      <formula>OR($G$129="",$G$129="нет")</formula>
    </cfRule>
  </conditionalFormatting>
  <conditionalFormatting sqref="I131:I135">
    <cfRule type="expression" dxfId="189" priority="17">
      <formula>OR($G$130="",$G$130="нет")</formula>
    </cfRule>
  </conditionalFormatting>
  <conditionalFormatting sqref="I132:I135">
    <cfRule type="expression" dxfId="188" priority="16">
      <formula>OR($G$131="",$G$131="нет")</formula>
    </cfRule>
  </conditionalFormatting>
  <conditionalFormatting sqref="I137:I139">
    <cfRule type="expression" dxfId="187" priority="15">
      <formula>OR($G$136="",$G$136="нет")</formula>
    </cfRule>
  </conditionalFormatting>
  <conditionalFormatting sqref="I141:I143">
    <cfRule type="expression" dxfId="186" priority="14">
      <formula>OR($G$140="",$G$140="нет")</formula>
    </cfRule>
  </conditionalFormatting>
  <conditionalFormatting sqref="I21:I22">
    <cfRule type="expression" dxfId="185" priority="12">
      <formula>OR($G$17="",$G$17="да")</formula>
    </cfRule>
  </conditionalFormatting>
  <conditionalFormatting sqref="I21:I22">
    <cfRule type="expression" dxfId="184" priority="10">
      <formula>$J$20="ок"</formula>
    </cfRule>
    <cfRule type="expression" dxfId="183" priority="11">
      <formula>OR($G$19="",$G$19="нет")</formula>
    </cfRule>
  </conditionalFormatting>
  <conditionalFormatting sqref="H110">
    <cfRule type="expression" dxfId="182" priority="9">
      <formula>OR($G$108="нет",$G$108="")</formula>
    </cfRule>
  </conditionalFormatting>
  <conditionalFormatting sqref="B186:K186">
    <cfRule type="expression" dxfId="181" priority="8">
      <formula>OR($G$183="да",$G$183="")</formula>
    </cfRule>
  </conditionalFormatting>
  <conditionalFormatting sqref="B184:K185">
    <cfRule type="expression" dxfId="180" priority="6">
      <formula>OR($G$183="нет",$G$183="")</formula>
    </cfRule>
    <cfRule type="expression" dxfId="179" priority="7">
      <formula>OR($G$182="нет",$G$182="")</formula>
    </cfRule>
  </conditionalFormatting>
  <conditionalFormatting sqref="B183:K183">
    <cfRule type="expression" dxfId="178" priority="5">
      <formula>OR($G$182="",$G$182="нет")</formula>
    </cfRule>
  </conditionalFormatting>
  <conditionalFormatting sqref="G176:H176 G181:H181 G186:H186 G119:H119 G120:H120 G122:H122 G126 G127 G133:H133 G134:H134 G135 G137:H137 G139 G141:H141 G143 H20 G21 G22 G25 G26:H26 G27 G31:H31 G32:H32 G35:H35 G36:H36 G39:H39 G40 G42:H42 G43 G45:H45 G46 G48:H48 G49 G16:H16 E73 G74:H75 G77:H77 G84:G85 G87:H87 G88 G91:H92 G95:H95 G96 G98:H98 G99 E101 G101:H101 G102 G104:H104 G105 G109:H110 G146:H146 G147 G150:H150 G151 G153:H153 G154 E156 G156:H156 G157 G159:H159 G160 G162:H162 H165 H168 G170:H170 G174:H175 G179:H179 G180 G184:H184 G185 H187 H191 G193 E5:E12">
    <cfRule type="expression" dxfId="177" priority="776">
      <formula>E5=""</formula>
    </cfRule>
  </conditionalFormatting>
  <conditionalFormatting sqref="G176:H176">
    <cfRule type="expression" dxfId="176" priority="3">
      <formula>OR($G$17="нет",$G$17="")</formula>
    </cfRule>
  </conditionalFormatting>
  <conditionalFormatting sqref="G176:H176">
    <cfRule type="expression" dxfId="175" priority="2">
      <formula>OR($G$67="",$G$67="нет")</formula>
    </cfRule>
  </conditionalFormatting>
  <conditionalFormatting sqref="G176:H176">
    <cfRule type="expression" dxfId="174" priority="1">
      <formula>AND($G$69="нет",$G$70="нет",$G$89="нет",$G$93="нет",OR($G$106="нет",AND($G$106="да",$G$107="нет")),$G$169="нет")</formula>
    </cfRule>
  </conditionalFormatting>
  <conditionalFormatting sqref="G176:H176">
    <cfRule type="expression" dxfId="173" priority="4">
      <formula>G176=""</formula>
    </cfRule>
  </conditionalFormatting>
  <dataValidations xWindow="339" yWindow="399" count="4">
    <dataValidation type="decimal" allowBlank="1" showInputMessage="1" showErrorMessage="1" sqref="G25:H27 G31:H32 G35:H36 G39:H40 G42:H43 G45:H46 G48:H49 G54:H57 G59:H59 G61:H61 G63:H63 G65:H65 G72:H75 G77:H80 G84:H85 G87:H88 G91:H92 G95:H96 G98:H99 G101:H102 G104:H105 G109:H110 G113:H115 G122:H127 G133:H135 G137:H137 G139:H139 G141:H141 G143:H143 G146:H147 G150:H151 G153:H154 G156:H157 G159:H160 G162:H162 G165:H165 G167:H168 G170:H171 G20:H22 G179:H181 I192 G203:I203 G184:H187 G119:H120 G191:G198 H198:I199 H191:H192 H174:H176" xr:uid="{C7CB92FA-21E4-4A0E-8604-C98BA2391438}">
      <formula1>-10000000000</formula1>
      <formula2>10000000000</formula2>
    </dataValidation>
    <dataValidation type="list" allowBlank="1" showInputMessage="1" showErrorMessage="1" sqref="C199" xr:uid="{984C0F73-AB6D-4675-B9FB-447E1CF9CF32}">
      <formula1>"Предприятие подтверждает исходные данные, но с размером эффекта не согласно,Предприятие с размером эффекта согласно"</formula1>
    </dataValidation>
    <dataValidation allowBlank="1" showInputMessage="1" showErrorMessage="1" prompt="Знаение должно совпадать с Приложением 5" sqref="E8" xr:uid="{3C4D6B2E-ABA1-4804-9F53-A90DA8846BF9}"/>
    <dataValidation type="decimal" allowBlank="1" showInputMessage="1" showErrorMessage="1" prompt="Если в соответствии с карточкой 5, запасы в потоке/НЗП были сокращены, то данная строка не может быть пустой" sqref="G174 G175 G176" xr:uid="{8F08E1E6-3623-42FB-BD31-03D602B37CBB}">
      <formula1>-10000000000</formula1>
      <formula2>10000000000</formula2>
    </dataValidation>
  </dataValidations>
  <hyperlinks>
    <hyperlink ref="K187" r:id="rId1" xr:uid="{6037BD25-EF36-402B-B2D8-EED09872EBC4}"/>
  </hyperlinks>
  <pageMargins left="0.70866141732283472" right="0.70866141732283472" top="0.74803149606299213" bottom="0.74803149606299213" header="0.31496062992125984" footer="0.31496062992125984"/>
  <pageSetup paperSize="9" scale="56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Чек_лист_10">
                <anchor moveWithCells="1">
                  <from>
                    <xdr:col>2</xdr:col>
                    <xdr:colOff>63500</xdr:colOff>
                    <xdr:row>203</xdr:row>
                    <xdr:rowOff>101600</xdr:rowOff>
                  </from>
                  <to>
                    <xdr:col>2</xdr:col>
                    <xdr:colOff>2197100</xdr:colOff>
                    <xdr:row>205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Вопросы_10_1">
                <anchor moveWithCells="1">
                  <from>
                    <xdr:col>2</xdr:col>
                    <xdr:colOff>63500</xdr:colOff>
                    <xdr:row>205</xdr:row>
                    <xdr:rowOff>139700</xdr:rowOff>
                  </from>
                  <to>
                    <xdr:col>2</xdr:col>
                    <xdr:colOff>2197100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Button 18">
              <controlPr defaultSize="0" print="0" autoFill="0" autoPict="0" macro="[0]!Очистка_10">
                <anchor moveWithCells="1">
                  <from>
                    <xdr:col>2</xdr:col>
                    <xdr:colOff>63500</xdr:colOff>
                    <xdr:row>208</xdr:row>
                    <xdr:rowOff>25400</xdr:rowOff>
                  </from>
                  <to>
                    <xdr:col>2</xdr:col>
                    <xdr:colOff>2197100</xdr:colOff>
                    <xdr:row>211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339" yWindow="399" count="5">
        <x14:dataValidation type="list" allowBlank="1" showInputMessage="1" showErrorMessage="1" xr:uid="{DEB48B3D-9BE8-4FF5-851B-6AF10196C907}">
          <x14:formula1>
            <xm:f>списки!$B$20:$B$21</xm:f>
          </x14:formula1>
          <xm:sqref>H67 H69</xm:sqref>
        </x14:dataValidation>
        <x14:dataValidation type="list" allowBlank="1" showInputMessage="1" showErrorMessage="1" xr:uid="{5906BC98-3D3B-460C-A575-A3FF97180076}">
          <x14:formula1>
            <xm:f>'/Users/aleksandr/Library/Containers/com.microsoft.Excel/Data/Documents/C:\Users\AAKvitko\Desktop\Чек-листы\[Пример по чек-листу Приводная техника.xlsx]списки'!#REF!</xm:f>
          </x14:formula1>
          <xm:sqref>H117 J117</xm:sqref>
        </x14:dataValidation>
        <x14:dataValidation type="list" allowBlank="1" showInputMessage="1" showErrorMessage="1" xr:uid="{BAD282E2-0178-414A-ABB8-0958ADC97FE9}">
          <x14:formula1>
            <xm:f>'/Users/aleksandr/Library/Containers/com.microsoft.Excel/Data/Documents/C:\Users\AAKvitko\Desktop\Чек-листы\[Пример по чек-листу_тест v10.1.xlsm]списки'!#REF!</xm:f>
          </x14:formula1>
          <xm:sqref>J69 J67</xm:sqref>
        </x14:dataValidation>
        <x14:dataValidation type="list" allowBlank="1" showInputMessage="1" showErrorMessage="1" promptTitle="Внимание" prompt="Не вводите данные в серые ячеики" xr:uid="{F8E606CF-449B-4981-9C1C-B13714C4BB28}">
          <x14:formula1>
            <xm:f>списки!$B$20:$B$21</xm:f>
          </x14:formula1>
          <xm:sqref>G17 G19 G23 G28:G30 G33:G34 G37:G38 G41 G44 G47 G51:G53 G58 G60 G62 G64 G67 G69:G71 G76 G89:G90 G93:G94 G97 G100 G103 G106:G108 G112 G117:G118 G121 G129:G132 G136 G138 G140 G142 G145 G148:G149 G152 G155 G158 G161 G164 G166 G169 G173 G177:G178 G182:G183 G189:G190</xm:sqref>
        </x14:dataValidation>
        <x14:dataValidation type="list" allowBlank="1" showInputMessage="1" showErrorMessage="1" xr:uid="{78521DAB-9E48-4D22-A32B-AC835ABBDAD9}">
          <x14:formula1>
            <xm:f>Tech!$A$1:$A$6</xm:f>
          </x14:formula1>
          <xm:sqref>E156 E101 E45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4BEDC-FA09-4BE4-9DEC-41A7A3676EE1}">
  <sheetPr codeName="Лист9">
    <tabColor rgb="FF00B050"/>
  </sheetPr>
  <dimension ref="A2:N15"/>
  <sheetViews>
    <sheetView workbookViewId="0">
      <selection activeCell="M2" sqref="M2"/>
    </sheetView>
  </sheetViews>
  <sheetFormatPr baseColWidth="10" defaultColWidth="8.83203125" defaultRowHeight="15" x14ac:dyDescent="0.2"/>
  <cols>
    <col min="12" max="12" width="20.33203125" bestFit="1" customWidth="1"/>
  </cols>
  <sheetData>
    <row r="2" spans="1:14" x14ac:dyDescent="0.2">
      <c r="A2" t="s">
        <v>86</v>
      </c>
      <c r="L2" t="s">
        <v>679</v>
      </c>
      <c r="M2" cm="1">
        <f t="array" aca="1" ref="M2" ca="1">CELL("строка",'Чек-лист'!C16)</f>
        <v>16</v>
      </c>
      <c r="N2" cm="1">
        <f t="array" aca="1" ref="N2" ca="1">CELL("строка",'Чек-лист'!K191)</f>
        <v>191</v>
      </c>
    </row>
    <row r="3" spans="1:14" x14ac:dyDescent="0.2">
      <c r="A3" t="s">
        <v>637</v>
      </c>
      <c r="L3" t="s">
        <v>680</v>
      </c>
      <c r="M3" cm="1">
        <f t="array" aca="1" ref="M3" ca="1">CELL("строка",'Чек-лист'!C15)</f>
        <v>15</v>
      </c>
    </row>
    <row r="4" spans="1:14" x14ac:dyDescent="0.2">
      <c r="A4" t="s">
        <v>638</v>
      </c>
      <c r="L4" t="s">
        <v>681</v>
      </c>
      <c r="M4" cm="1">
        <f t="array" aca="1" ref="M4" ca="1">CELL("строка",'Чек-лист'!G16)</f>
        <v>16</v>
      </c>
      <c r="N4" cm="1">
        <f t="array" aca="1" ref="N4" ca="1">CELL("строка",'Чек-лист'!K191)</f>
        <v>191</v>
      </c>
    </row>
    <row r="5" spans="1:14" x14ac:dyDescent="0.2">
      <c r="A5" t="s">
        <v>639</v>
      </c>
      <c r="L5" t="s">
        <v>682</v>
      </c>
      <c r="M5">
        <v>73</v>
      </c>
    </row>
    <row r="6" spans="1:14" x14ac:dyDescent="0.2">
      <c r="A6" t="s">
        <v>640</v>
      </c>
      <c r="L6" t="s">
        <v>683</v>
      </c>
      <c r="M6" cm="1">
        <f t="array" aca="1" ref="M6" ca="1">CELL("строка",'Чек-лист'!E25)</f>
        <v>25</v>
      </c>
    </row>
    <row r="7" spans="1:14" x14ac:dyDescent="0.2">
      <c r="L7" t="s">
        <v>684</v>
      </c>
      <c r="M7" cm="1">
        <f t="array" aca="1" ref="M7" ca="1">CELL("строка",'Чек-лист'!G193:H193)</f>
        <v>193</v>
      </c>
    </row>
    <row r="8" spans="1:14" x14ac:dyDescent="0.2">
      <c r="L8" t="s">
        <v>685</v>
      </c>
      <c r="M8" cm="1">
        <f t="array" aca="1" ref="M8" ca="1">CELL("строка",'Чек-лист'!E5:H5)</f>
        <v>5</v>
      </c>
      <c r="N8" cm="1">
        <f t="array" aca="1" ref="N8" ca="1">CELL("строка",'Чек-лист'!E12:H12)</f>
        <v>12</v>
      </c>
    </row>
    <row r="9" spans="1:14" x14ac:dyDescent="0.2">
      <c r="L9" t="s">
        <v>686</v>
      </c>
      <c r="M9" cm="1">
        <f t="array" aca="1" ref="M9" ca="1">CELL("строка",'Чек-лист'!E6:H6)</f>
        <v>6</v>
      </c>
    </row>
    <row r="10" spans="1:14" x14ac:dyDescent="0.2">
      <c r="L10" t="s">
        <v>687</v>
      </c>
      <c r="M10" cm="1">
        <f t="array" aca="1" ref="M10" ca="1">CELL("строка",'Чек-лист'!E7:H7)</f>
        <v>7</v>
      </c>
    </row>
    <row r="11" spans="1:14" x14ac:dyDescent="0.2">
      <c r="L11" t="s">
        <v>688</v>
      </c>
      <c r="M11" cm="1">
        <f t="array" aca="1" ref="M11" ca="1">CELL("строка",'Чек-лист'!E8:H8)</f>
        <v>8</v>
      </c>
    </row>
    <row r="12" spans="1:14" x14ac:dyDescent="0.2">
      <c r="L12" t="s">
        <v>689</v>
      </c>
      <c r="M12" cm="1">
        <f t="array" aca="1" ref="M12" ca="1">CELL("строка",'Чек-лист'!E9:H9)</f>
        <v>9</v>
      </c>
    </row>
    <row r="13" spans="1:14" x14ac:dyDescent="0.2">
      <c r="L13" t="s">
        <v>690</v>
      </c>
      <c r="M13" cm="1">
        <f t="array" aca="1" ref="M13" ca="1">CELL("строка",'Чек-лист'!E10:H10)</f>
        <v>10</v>
      </c>
    </row>
    <row r="14" spans="1:14" x14ac:dyDescent="0.2">
      <c r="L14" t="s">
        <v>691</v>
      </c>
      <c r="M14" cm="1">
        <f t="array" aca="1" ref="M14" ca="1">CELL("строка",'Чек-лист'!E11:H11)</f>
        <v>11</v>
      </c>
    </row>
    <row r="15" spans="1:14" x14ac:dyDescent="0.2">
      <c r="L15" t="s">
        <v>692</v>
      </c>
      <c r="M15" cm="1">
        <f t="array" aca="1" ref="M15" ca="1">CELL("строка",'Чек-лист'!E12:H12)</f>
        <v>12</v>
      </c>
    </row>
  </sheetData>
  <phoneticPr fontId="2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 filterMode="1">
    <tabColor rgb="FF00B050"/>
    <outlinePr summaryBelow="0"/>
    <pageSetUpPr fitToPage="1"/>
  </sheetPr>
  <dimension ref="A1:M212"/>
  <sheetViews>
    <sheetView zoomScaleNormal="80" zoomScaleSheetLayoutView="90" workbookViewId="0">
      <pane ySplit="8" topLeftCell="A9" activePane="bottomLeft" state="frozen"/>
      <selection pane="bottomLeft" activeCell="E15" sqref="E15"/>
    </sheetView>
  </sheetViews>
  <sheetFormatPr baseColWidth="10" defaultColWidth="8.6640625" defaultRowHeight="15" x14ac:dyDescent="0.2"/>
  <cols>
    <col min="1" max="1" width="12.6640625" style="52" customWidth="1"/>
    <col min="2" max="2" width="34.33203125" style="39" hidden="1" customWidth="1"/>
    <col min="3" max="3" width="70" style="291" customWidth="1"/>
    <col min="4" max="4" width="13.6640625" style="53" customWidth="1"/>
    <col min="5" max="5" width="24.6640625" style="122" customWidth="1"/>
    <col min="6" max="6" width="17.33203125" style="122" customWidth="1"/>
    <col min="7" max="7" width="26.33203125" style="39" customWidth="1"/>
    <col min="8" max="8" width="14.6640625" style="52" customWidth="1"/>
    <col min="9" max="9" width="13.5" style="406" customWidth="1"/>
    <col min="10" max="10" width="12" style="406" customWidth="1"/>
    <col min="11" max="16384" width="8.6640625" style="52"/>
  </cols>
  <sheetData>
    <row r="1" spans="1:13" ht="16.5" hidden="1" customHeight="1" x14ac:dyDescent="0.2"/>
    <row r="2" spans="1:13" customFormat="1" ht="16.5" hidden="1" customHeight="1" x14ac:dyDescent="0.2">
      <c r="A2" s="52"/>
      <c r="B2" s="118" t="s">
        <v>251</v>
      </c>
      <c r="C2" s="292"/>
      <c r="D2" s="119"/>
      <c r="E2" s="120"/>
      <c r="F2" s="120"/>
      <c r="G2" s="118"/>
      <c r="H2" s="384"/>
      <c r="I2" s="453"/>
      <c r="J2" s="454"/>
      <c r="K2" s="118"/>
      <c r="L2" s="118"/>
      <c r="M2" s="118"/>
    </row>
    <row r="3" spans="1:13" customFormat="1" ht="16.5" hidden="1" customHeight="1" x14ac:dyDescent="0.2">
      <c r="A3" s="52"/>
      <c r="B3" s="117"/>
      <c r="C3" s="293" t="s">
        <v>252</v>
      </c>
      <c r="D3" s="101"/>
      <c r="E3" s="121"/>
      <c r="F3" s="121"/>
      <c r="G3" s="117"/>
      <c r="H3" s="385"/>
      <c r="I3" s="455"/>
      <c r="J3" s="456"/>
      <c r="K3" s="117"/>
      <c r="L3" s="117"/>
      <c r="M3" s="117"/>
    </row>
    <row r="4" spans="1:13" ht="16.5" hidden="1" customHeight="1" x14ac:dyDescent="0.2"/>
    <row r="5" spans="1:13" ht="16.5" customHeight="1" x14ac:dyDescent="0.2">
      <c r="G5" s="471" t="str">
        <f>'Чек-лист'!K1</f>
        <v>Версия 5.2</v>
      </c>
    </row>
    <row r="6" spans="1:13" s="62" customFormat="1" ht="16.5" customHeight="1" x14ac:dyDescent="0.2">
      <c r="B6" s="341" t="s">
        <v>253</v>
      </c>
      <c r="C6" s="341" t="s">
        <v>253</v>
      </c>
      <c r="D6" s="341"/>
      <c r="E6" s="341"/>
      <c r="F6" s="341"/>
      <c r="G6" s="341"/>
      <c r="I6" s="444"/>
      <c r="J6" s="444"/>
    </row>
    <row r="7" spans="1:13" ht="16.5" customHeight="1" x14ac:dyDescent="0.2">
      <c r="B7" s="522" t="s">
        <v>254</v>
      </c>
      <c r="C7" s="524" t="s">
        <v>255</v>
      </c>
      <c r="D7" s="526" t="s">
        <v>256</v>
      </c>
      <c r="E7" s="528" t="s">
        <v>257</v>
      </c>
      <c r="F7" s="529"/>
      <c r="G7" s="530"/>
    </row>
    <row r="8" spans="1:13" ht="16.5" customHeight="1" thickBot="1" x14ac:dyDescent="0.25">
      <c r="B8" s="523"/>
      <c r="C8" s="525"/>
      <c r="D8" s="527"/>
      <c r="E8" s="336" t="s">
        <v>258</v>
      </c>
      <c r="F8" s="336" t="s">
        <v>259</v>
      </c>
      <c r="G8" s="337" t="s">
        <v>260</v>
      </c>
    </row>
    <row r="9" spans="1:13" s="59" customFormat="1" ht="16.5" customHeight="1" thickTop="1" x14ac:dyDescent="0.2">
      <c r="B9" s="198" t="s">
        <v>261</v>
      </c>
      <c r="C9" s="334" t="s">
        <v>262</v>
      </c>
      <c r="D9" s="335" t="s">
        <v>236</v>
      </c>
      <c r="E9" s="442">
        <f>E12-E135+E155</f>
        <v>30583921.752930224</v>
      </c>
      <c r="F9" s="442">
        <f>F12-F135+F155+F167</f>
        <v>34631793.749642774</v>
      </c>
      <c r="G9" s="443">
        <f>F9-E9</f>
        <v>4047871.9967125505</v>
      </c>
      <c r="I9" s="445"/>
      <c r="J9" s="446"/>
    </row>
    <row r="10" spans="1:13" s="59" customFormat="1" ht="16.5" customHeight="1" x14ac:dyDescent="0.2">
      <c r="B10" s="198"/>
      <c r="C10" s="334" t="s">
        <v>263</v>
      </c>
      <c r="D10" s="335" t="s">
        <v>236</v>
      </c>
      <c r="E10" s="442"/>
      <c r="F10" s="442"/>
      <c r="G10" s="443">
        <f>G13+G156</f>
        <v>1598390.4807532313</v>
      </c>
      <c r="I10" s="446"/>
      <c r="J10" s="446"/>
    </row>
    <row r="11" spans="1:13" s="59" customFormat="1" ht="16.5" customHeight="1" x14ac:dyDescent="0.2">
      <c r="B11" s="198" t="s">
        <v>13</v>
      </c>
      <c r="C11" s="334" t="s">
        <v>264</v>
      </c>
      <c r="D11" s="335" t="s">
        <v>236</v>
      </c>
      <c r="E11" s="442"/>
      <c r="F11" s="442">
        <f>F166</f>
        <v>0</v>
      </c>
      <c r="G11" s="443">
        <f>G166</f>
        <v>0</v>
      </c>
      <c r="I11" s="446"/>
      <c r="J11" s="446"/>
    </row>
    <row r="12" spans="1:13" s="59" customFormat="1" ht="16.5" customHeight="1" x14ac:dyDescent="0.2">
      <c r="B12" s="198" t="s">
        <v>265</v>
      </c>
      <c r="C12" s="294" t="s">
        <v>266</v>
      </c>
      <c r="D12" s="58" t="s">
        <v>236</v>
      </c>
      <c r="E12" s="123">
        <f>E14-E15</f>
        <v>30583921.752930224</v>
      </c>
      <c r="F12" s="123">
        <f>F14-F15</f>
        <v>34631793.749642774</v>
      </c>
      <c r="G12" s="371">
        <f>F12-E12</f>
        <v>4047871.9967125505</v>
      </c>
      <c r="H12" s="386"/>
      <c r="I12" s="445"/>
      <c r="J12" s="446"/>
    </row>
    <row r="13" spans="1:13" s="59" customFormat="1" ht="16.5" customHeight="1" x14ac:dyDescent="0.2">
      <c r="B13" s="202"/>
      <c r="C13" s="295" t="s">
        <v>267</v>
      </c>
      <c r="D13" s="184" t="s">
        <v>236</v>
      </c>
      <c r="E13" s="185"/>
      <c r="F13" s="185"/>
      <c r="G13" s="372">
        <f>IF(IFERROR(G17+G46+G70+G109,0)&lt;0,0,IFERROR(G17+G46+G70+G109,0))</f>
        <v>1598390.4807532313</v>
      </c>
      <c r="H13" s="386"/>
      <c r="I13" s="445"/>
      <c r="J13" s="446"/>
    </row>
    <row r="14" spans="1:13" s="56" customFormat="1" ht="16.5" customHeight="1" x14ac:dyDescent="0.2">
      <c r="B14" s="193" t="s">
        <v>268</v>
      </c>
      <c r="C14" s="296" t="s">
        <v>269</v>
      </c>
      <c r="D14" s="55" t="s">
        <v>236</v>
      </c>
      <c r="E14" s="124">
        <f>E71+E102+E110+E18+E47</f>
        <v>98983592.559999987</v>
      </c>
      <c r="F14" s="124">
        <f>F71+F102+F110+F18+F47</f>
        <v>112084362.16353326</v>
      </c>
      <c r="G14" s="378">
        <f>F14-E14</f>
        <v>13100769.603533268</v>
      </c>
      <c r="I14" s="447"/>
      <c r="J14" s="447"/>
    </row>
    <row r="15" spans="1:13" ht="16.5" customHeight="1" x14ac:dyDescent="0.2">
      <c r="B15" s="193" t="s">
        <v>270</v>
      </c>
      <c r="C15" s="296" t="s">
        <v>271</v>
      </c>
      <c r="D15" s="55" t="s">
        <v>236</v>
      </c>
      <c r="E15" s="171">
        <f>IF(E19=0,E24,E19)+IF(E48=0,E52,E48)+E78+E105+E116</f>
        <v>68399670.807069764</v>
      </c>
      <c r="F15" s="171">
        <f>IF(F19=0,F24,F19)+IF(F48=0,F52,F48)+F78+F105+F116</f>
        <v>77452568.413890481</v>
      </c>
      <c r="G15" s="378">
        <f>E15-F15</f>
        <v>-9052897.6068207175</v>
      </c>
    </row>
    <row r="16" spans="1:13" s="59" customFormat="1" ht="16.5" hidden="1" customHeight="1" x14ac:dyDescent="0.2">
      <c r="B16" s="198"/>
      <c r="C16" s="294" t="s">
        <v>272</v>
      </c>
      <c r="D16" s="58" t="s">
        <v>236</v>
      </c>
      <c r="E16" s="176">
        <f>IFERROR(IF(E18=0,-E24,E18-E19),0)</f>
        <v>0</v>
      </c>
      <c r="F16" s="176">
        <f>IFERROR(IF(F18=0,-F24,F18-F19),0)</f>
        <v>0</v>
      </c>
      <c r="G16" s="380">
        <f>F16-E16</f>
        <v>0</v>
      </c>
      <c r="I16" s="406" t="s">
        <v>273</v>
      </c>
      <c r="J16" s="406">
        <f>E16*F20</f>
        <v>0</v>
      </c>
    </row>
    <row r="17" spans="2:11" s="59" customFormat="1" ht="16.5" hidden="1" customHeight="1" x14ac:dyDescent="0.2">
      <c r="B17" s="202"/>
      <c r="C17" s="295" t="s">
        <v>267</v>
      </c>
      <c r="D17" s="184" t="s">
        <v>236</v>
      </c>
      <c r="E17" s="185"/>
      <c r="F17" s="185"/>
      <c r="G17" s="380">
        <f>IF(E19=0,0,IFERROR((E18*(F22-F20+1)-((E19-E24)*(1+F22-F20)+E24*(1+F23)*(1+F22-F20)))-(E18-E19)-(E24-F24),0))</f>
        <v>0</v>
      </c>
      <c r="H17" s="387"/>
      <c r="I17" s="406" t="s">
        <v>274</v>
      </c>
      <c r="J17" s="406">
        <f>E19*(1+F20)-F19</f>
        <v>0</v>
      </c>
    </row>
    <row r="18" spans="2:11" s="56" customFormat="1" ht="16.5" hidden="1" customHeight="1" x14ac:dyDescent="0.2">
      <c r="B18" s="193"/>
      <c r="C18" s="296" t="s">
        <v>275</v>
      </c>
      <c r="D18" s="55" t="s">
        <v>236</v>
      </c>
      <c r="E18" s="175">
        <f>IF('Чек-лист'!G23="да",'Чек-лист'!G21,0)</f>
        <v>0</v>
      </c>
      <c r="F18" s="175">
        <f>IFERROR(E18*(F20+1),0)</f>
        <v>0</v>
      </c>
      <c r="G18" s="283"/>
      <c r="I18" s="406"/>
      <c r="J18" s="406"/>
    </row>
    <row r="19" spans="2:11" ht="16.5" hidden="1" customHeight="1" x14ac:dyDescent="0.2">
      <c r="B19" s="194"/>
      <c r="C19" s="296" t="s">
        <v>276</v>
      </c>
      <c r="D19" s="55" t="s">
        <v>236</v>
      </c>
      <c r="E19" s="171">
        <f>IF('Чек-лист'!G23="да",'Чек-лист'!G22,0)</f>
        <v>0</v>
      </c>
      <c r="F19" s="171">
        <f>IF(E19=0,0,IFERROR((E19-E24)*(1+F20)+E24*(1+F23)*(1+F20),0))</f>
        <v>0</v>
      </c>
      <c r="G19" s="283"/>
      <c r="H19" s="214"/>
      <c r="I19" s="406" t="s">
        <v>277</v>
      </c>
      <c r="J19" s="406">
        <f>(E26-F26)*(1+F20)*E21</f>
        <v>0</v>
      </c>
    </row>
    <row r="20" spans="2:11" ht="32" hidden="1" x14ac:dyDescent="0.2">
      <c r="B20" s="194"/>
      <c r="C20" s="297" t="s">
        <v>278</v>
      </c>
      <c r="D20" s="55"/>
      <c r="E20" s="171"/>
      <c r="F20" s="192">
        <f>IF('Чек-лист'!H20&lt;'Экономический эффект'!F22,IF('Чек-лист'!G23="да",'Чек-лист'!H20,0),'Экономический эффект'!F22)</f>
        <v>0</v>
      </c>
      <c r="G20" s="283"/>
      <c r="I20" s="406" t="s">
        <v>279</v>
      </c>
      <c r="J20" s="406">
        <f>(E29-F29)*(1+F20)*E21</f>
        <v>0</v>
      </c>
    </row>
    <row r="21" spans="2:11" ht="16.5" hidden="1" customHeight="1" x14ac:dyDescent="0.2">
      <c r="B21" s="194"/>
      <c r="C21" s="296" t="s">
        <v>51</v>
      </c>
      <c r="D21" s="55"/>
      <c r="E21" s="171">
        <f>IFERROR('Чек-лист'!G27,0)</f>
        <v>0</v>
      </c>
      <c r="F21" s="171">
        <f>E21*(1+F22)</f>
        <v>0</v>
      </c>
      <c r="G21" s="381"/>
      <c r="H21" s="214"/>
      <c r="I21" s="406" t="s">
        <v>280</v>
      </c>
      <c r="J21" s="406">
        <f>((E33+E36+E39+E42)-(F33+F36+F39+F42))*(1+F20)*E21</f>
        <v>0</v>
      </c>
    </row>
    <row r="22" spans="2:11" ht="16.5" hidden="1" customHeight="1" x14ac:dyDescent="0.2">
      <c r="B22" s="194"/>
      <c r="C22" s="297" t="s">
        <v>281</v>
      </c>
      <c r="D22" s="55" t="s">
        <v>39</v>
      </c>
      <c r="E22" s="171"/>
      <c r="F22" s="192">
        <f>IFERROR((1/'Чек-лист'!H26-1/'Чек-лист'!G26)/(1/'Чек-лист'!G26),0)</f>
        <v>0</v>
      </c>
      <c r="G22" s="283"/>
      <c r="I22" s="448"/>
      <c r="K22" s="210"/>
    </row>
    <row r="23" spans="2:11" ht="16.5" hidden="1" customHeight="1" x14ac:dyDescent="0.2">
      <c r="B23" s="194"/>
      <c r="C23" s="297" t="s">
        <v>282</v>
      </c>
      <c r="D23" s="55" t="s">
        <v>39</v>
      </c>
      <c r="E23" s="171"/>
      <c r="F23" s="192">
        <f>IFERROR(F25/E25-1,0)</f>
        <v>0</v>
      </c>
      <c r="G23" s="283"/>
      <c r="I23" s="448"/>
      <c r="K23" s="210"/>
    </row>
    <row r="24" spans="2:11" ht="16.5" hidden="1" customHeight="1" x14ac:dyDescent="0.2">
      <c r="B24" s="194"/>
      <c r="C24" s="297" t="s">
        <v>283</v>
      </c>
      <c r="D24" s="55"/>
      <c r="E24" s="171">
        <f>E25*E21</f>
        <v>0</v>
      </c>
      <c r="F24" s="171">
        <f>F25*E21</f>
        <v>0</v>
      </c>
      <c r="G24" s="381"/>
      <c r="H24" s="214"/>
      <c r="I24" s="448"/>
    </row>
    <row r="25" spans="2:11" s="56" customFormat="1" ht="16.5" hidden="1" customHeight="1" x14ac:dyDescent="0.2">
      <c r="B25" s="193"/>
      <c r="C25" s="296" t="s">
        <v>284</v>
      </c>
      <c r="D25" s="216" t="s">
        <v>285</v>
      </c>
      <c r="E25" s="171">
        <f>IFERROR('Чек-лист'!G25,0)</f>
        <v>0</v>
      </c>
      <c r="F25" s="171">
        <f>IFERROR(E25-SUM(G26:G44),0)</f>
        <v>0</v>
      </c>
      <c r="G25" s="381">
        <f>E25-F25</f>
        <v>0</v>
      </c>
      <c r="H25" s="388"/>
      <c r="I25" s="457"/>
      <c r="J25" s="447"/>
    </row>
    <row r="26" spans="2:11" ht="16.5" hidden="1" customHeight="1" x14ac:dyDescent="0.2">
      <c r="B26" s="194"/>
      <c r="C26" s="297" t="s">
        <v>286</v>
      </c>
      <c r="D26" s="268" t="s">
        <v>285</v>
      </c>
      <c r="E26" s="169">
        <f>(E27*E28)</f>
        <v>0</v>
      </c>
      <c r="F26" s="169">
        <f>(F27*F28)</f>
        <v>0</v>
      </c>
      <c r="G26" s="381">
        <f>-F26+E26</f>
        <v>0</v>
      </c>
    </row>
    <row r="27" spans="2:11" s="61" customFormat="1" ht="16.5" hidden="1" customHeight="1" x14ac:dyDescent="0.2">
      <c r="B27" s="195"/>
      <c r="C27" s="298" t="s">
        <v>287</v>
      </c>
      <c r="D27" s="215" t="s">
        <v>288</v>
      </c>
      <c r="E27" s="174">
        <f>IFERROR('Чек-лист'!G35,0)</f>
        <v>0</v>
      </c>
      <c r="F27" s="174">
        <f>IFERROR('Чек-лист'!H35,0)</f>
        <v>0</v>
      </c>
      <c r="G27" s="382"/>
      <c r="I27" s="449"/>
      <c r="J27" s="449"/>
    </row>
    <row r="28" spans="2:11" s="61" customFormat="1" ht="16.5" hidden="1" customHeight="1" x14ac:dyDescent="0.2">
      <c r="B28" s="195"/>
      <c r="C28" s="298" t="s">
        <v>289</v>
      </c>
      <c r="D28" s="215" t="s">
        <v>290</v>
      </c>
      <c r="E28" s="174">
        <f>IFERROR('Чек-лист'!G36,0)</f>
        <v>0</v>
      </c>
      <c r="F28" s="174">
        <f>IFERROR(IF('Чек-лист'!H36="",E28,'Чек-лист'!H36),0)</f>
        <v>0</v>
      </c>
      <c r="G28" s="382"/>
      <c r="I28" s="449"/>
      <c r="J28" s="449"/>
    </row>
    <row r="29" spans="2:11" ht="16.5" hidden="1" customHeight="1" x14ac:dyDescent="0.2">
      <c r="B29" s="194"/>
      <c r="C29" s="297" t="s">
        <v>291</v>
      </c>
      <c r="D29" s="268" t="s">
        <v>285</v>
      </c>
      <c r="E29" s="169">
        <f>(E30*E31*E32)</f>
        <v>0</v>
      </c>
      <c r="F29" s="169">
        <f>(F30*F31*F32)</f>
        <v>0</v>
      </c>
      <c r="G29" s="381">
        <f>-F29+E29</f>
        <v>0</v>
      </c>
    </row>
    <row r="30" spans="2:11" s="61" customFormat="1" ht="16.5" hidden="1" customHeight="1" x14ac:dyDescent="0.2">
      <c r="B30" s="195"/>
      <c r="C30" s="298" t="s">
        <v>57</v>
      </c>
      <c r="D30" s="215" t="s">
        <v>292</v>
      </c>
      <c r="E30" s="174">
        <f>IFERROR('Чек-лист'!G31,0)</f>
        <v>0</v>
      </c>
      <c r="F30" s="174">
        <f>IFERROR('Чек-лист'!H31,0)</f>
        <v>0</v>
      </c>
      <c r="G30" s="382"/>
      <c r="I30" s="450"/>
      <c r="J30" s="449"/>
    </row>
    <row r="31" spans="2:11" s="61" customFormat="1" ht="16.5" hidden="1" customHeight="1" x14ac:dyDescent="0.2">
      <c r="B31" s="195"/>
      <c r="C31" s="298" t="s">
        <v>293</v>
      </c>
      <c r="D31" s="215" t="s">
        <v>63</v>
      </c>
      <c r="E31" s="174">
        <f>IFERROR('Чек-лист'!G32,0)</f>
        <v>0</v>
      </c>
      <c r="F31" s="174">
        <f>IFERROR(IF('Чек-лист'!H32="",E31,'Чек-лист'!H32),0)</f>
        <v>0</v>
      </c>
      <c r="G31" s="382"/>
      <c r="I31" s="449"/>
      <c r="J31" s="449"/>
    </row>
    <row r="32" spans="2:11" s="61" customFormat="1" ht="16.5" hidden="1" customHeight="1" x14ac:dyDescent="0.2">
      <c r="B32" s="195"/>
      <c r="C32" s="298" t="s">
        <v>294</v>
      </c>
      <c r="D32" s="215" t="s">
        <v>39</v>
      </c>
      <c r="E32" s="173">
        <v>1.3</v>
      </c>
      <c r="F32" s="173">
        <v>1.3</v>
      </c>
      <c r="G32" s="367"/>
      <c r="I32" s="449"/>
      <c r="J32" s="449"/>
    </row>
    <row r="33" spans="2:10" ht="16.5" hidden="1" customHeight="1" x14ac:dyDescent="0.2">
      <c r="B33" s="194"/>
      <c r="C33" s="297" t="s">
        <v>295</v>
      </c>
      <c r="D33" s="268" t="s">
        <v>285</v>
      </c>
      <c r="E33" s="169">
        <f>(E34*E35)</f>
        <v>0</v>
      </c>
      <c r="F33" s="169">
        <f>(F34*F35)</f>
        <v>0</v>
      </c>
      <c r="G33" s="381">
        <f>-F33+E33</f>
        <v>0</v>
      </c>
    </row>
    <row r="34" spans="2:10" s="61" customFormat="1" ht="16.5" hidden="1" customHeight="1" x14ac:dyDescent="0.2">
      <c r="B34" s="195"/>
      <c r="C34" s="298" t="s">
        <v>287</v>
      </c>
      <c r="D34" s="215" t="s">
        <v>296</v>
      </c>
      <c r="E34" s="174">
        <f>IFERROR('Чек-лист'!G39,0)</f>
        <v>0</v>
      </c>
      <c r="F34" s="174">
        <f>IFERROR('Чек-лист'!H39,0)</f>
        <v>0</v>
      </c>
      <c r="G34" s="382"/>
      <c r="I34" s="449"/>
      <c r="J34" s="449"/>
    </row>
    <row r="35" spans="2:10" s="56" customFormat="1" ht="16.5" hidden="1" customHeight="1" x14ac:dyDescent="0.2">
      <c r="B35" s="195"/>
      <c r="C35" s="298" t="s">
        <v>297</v>
      </c>
      <c r="D35" s="215" t="s">
        <v>82</v>
      </c>
      <c r="E35" s="174">
        <f>IFERROR('Чек-лист'!G40,0)</f>
        <v>0</v>
      </c>
      <c r="F35" s="174">
        <f>E35</f>
        <v>0</v>
      </c>
      <c r="G35" s="382"/>
      <c r="I35" s="447"/>
      <c r="J35" s="447"/>
    </row>
    <row r="36" spans="2:10" ht="16.5" hidden="1" customHeight="1" x14ac:dyDescent="0.2">
      <c r="B36" s="194"/>
      <c r="C36" s="297" t="s">
        <v>298</v>
      </c>
      <c r="D36" s="268" t="s">
        <v>285</v>
      </c>
      <c r="E36" s="169">
        <f>(E37*E38)</f>
        <v>0</v>
      </c>
      <c r="F36" s="169">
        <f>(F37*F38)</f>
        <v>0</v>
      </c>
      <c r="G36" s="381">
        <f>-F36+E36</f>
        <v>0</v>
      </c>
    </row>
    <row r="37" spans="2:10" s="61" customFormat="1" ht="16.5" hidden="1" customHeight="1" x14ac:dyDescent="0.2">
      <c r="B37" s="195"/>
      <c r="C37" s="298" t="s">
        <v>287</v>
      </c>
      <c r="D37" s="215" t="s">
        <v>299</v>
      </c>
      <c r="E37" s="174">
        <f>IFERROR('Чек-лист'!G42,0)</f>
        <v>0</v>
      </c>
      <c r="F37" s="174">
        <f>IFERROR('Чек-лист'!H42,0)</f>
        <v>0</v>
      </c>
      <c r="G37" s="382"/>
      <c r="I37" s="449"/>
      <c r="J37" s="449"/>
    </row>
    <row r="38" spans="2:10" s="56" customFormat="1" ht="16.5" hidden="1" customHeight="1" x14ac:dyDescent="0.2">
      <c r="B38" s="195"/>
      <c r="C38" s="298" t="s">
        <v>297</v>
      </c>
      <c r="D38" s="215" t="s">
        <v>88</v>
      </c>
      <c r="E38" s="174">
        <f>IFERROR('Чек-лист'!G43,0)</f>
        <v>0</v>
      </c>
      <c r="F38" s="174">
        <f>E38</f>
        <v>0</v>
      </c>
      <c r="G38" s="382"/>
      <c r="I38" s="447"/>
      <c r="J38" s="447"/>
    </row>
    <row r="39" spans="2:10" ht="16.5" hidden="1" customHeight="1" x14ac:dyDescent="0.2">
      <c r="B39" s="194"/>
      <c r="C39" s="297" t="s">
        <v>300</v>
      </c>
      <c r="D39" s="268" t="s">
        <v>285</v>
      </c>
      <c r="E39" s="169">
        <f>(E40*E41)</f>
        <v>0</v>
      </c>
      <c r="F39" s="169">
        <f>(F40*F41)</f>
        <v>0</v>
      </c>
      <c r="G39" s="381">
        <f>-F39+E39</f>
        <v>0</v>
      </c>
    </row>
    <row r="40" spans="2:10" s="61" customFormat="1" ht="16.5" hidden="1" customHeight="1" x14ac:dyDescent="0.2">
      <c r="B40" s="195"/>
      <c r="C40" s="298" t="s">
        <v>287</v>
      </c>
      <c r="D40" s="215" t="s">
        <v>299</v>
      </c>
      <c r="E40" s="174">
        <f>IFERROR('Чек-лист'!G45,0)</f>
        <v>0</v>
      </c>
      <c r="F40" s="174">
        <f>IFERROR('Чек-лист'!H45,0)</f>
        <v>0</v>
      </c>
      <c r="G40" s="382"/>
      <c r="I40" s="449"/>
      <c r="J40" s="449"/>
    </row>
    <row r="41" spans="2:10" s="56" customFormat="1" ht="16.5" hidden="1" customHeight="1" x14ac:dyDescent="0.2">
      <c r="B41" s="195"/>
      <c r="C41" s="298" t="s">
        <v>297</v>
      </c>
      <c r="D41" s="215" t="s">
        <v>88</v>
      </c>
      <c r="E41" s="174">
        <f>IFERROR('Чек-лист'!G46,0)</f>
        <v>0</v>
      </c>
      <c r="F41" s="174">
        <f>E41</f>
        <v>0</v>
      </c>
      <c r="G41" s="382"/>
      <c r="I41" s="447"/>
      <c r="J41" s="447"/>
    </row>
    <row r="42" spans="2:10" ht="16.5" hidden="1" customHeight="1" x14ac:dyDescent="0.2">
      <c r="B42" s="194"/>
      <c r="C42" s="297" t="s">
        <v>301</v>
      </c>
      <c r="D42" s="268" t="s">
        <v>285</v>
      </c>
      <c r="E42" s="169">
        <f>(E43*E44)</f>
        <v>0</v>
      </c>
      <c r="F42" s="169">
        <f>(F43*F44)</f>
        <v>0</v>
      </c>
      <c r="G42" s="381">
        <f>-F42+E42</f>
        <v>0</v>
      </c>
    </row>
    <row r="43" spans="2:10" s="61" customFormat="1" ht="16.5" hidden="1" customHeight="1" x14ac:dyDescent="0.2">
      <c r="B43" s="195"/>
      <c r="C43" s="298" t="s">
        <v>287</v>
      </c>
      <c r="D43" s="215" t="s">
        <v>302</v>
      </c>
      <c r="E43" s="174">
        <f>IFERROR('Чек-лист'!G48,0)</f>
        <v>0</v>
      </c>
      <c r="F43" s="174">
        <f>IFERROR('Чек-лист'!H48,0)</f>
        <v>0</v>
      </c>
      <c r="G43" s="382"/>
      <c r="I43" s="449"/>
      <c r="J43" s="449"/>
    </row>
    <row r="44" spans="2:10" s="56" customFormat="1" ht="16.5" hidden="1" customHeight="1" x14ac:dyDescent="0.2">
      <c r="B44" s="195"/>
      <c r="C44" s="298" t="s">
        <v>297</v>
      </c>
      <c r="D44" s="215" t="s">
        <v>93</v>
      </c>
      <c r="E44" s="174">
        <f>IFERROR('Чек-лист'!G49,0)</f>
        <v>0</v>
      </c>
      <c r="F44" s="174">
        <f>E44</f>
        <v>0</v>
      </c>
      <c r="G44" s="367"/>
      <c r="I44" s="447"/>
      <c r="J44" s="447"/>
    </row>
    <row r="45" spans="2:10" s="59" customFormat="1" ht="16.5" hidden="1" customHeight="1" x14ac:dyDescent="0.2">
      <c r="B45" s="198"/>
      <c r="C45" s="294" t="s">
        <v>303</v>
      </c>
      <c r="D45" s="58" t="s">
        <v>236</v>
      </c>
      <c r="E45" s="176">
        <f>IFERROR(IF(E47=0,-E52,E47-E48),0)</f>
        <v>0</v>
      </c>
      <c r="F45" s="176">
        <f>IFERROR(IF(F47=0,-F52,F47-F48),0)</f>
        <v>0</v>
      </c>
      <c r="G45" s="369">
        <f>IFERROR(F45-E45,0)</f>
        <v>0</v>
      </c>
      <c r="I45" s="406" t="s">
        <v>273</v>
      </c>
      <c r="J45" s="448">
        <f>E45*F49</f>
        <v>0</v>
      </c>
    </row>
    <row r="46" spans="2:10" s="59" customFormat="1" ht="16.5" hidden="1" customHeight="1" x14ac:dyDescent="0.2">
      <c r="B46" s="202"/>
      <c r="C46" s="295" t="s">
        <v>267</v>
      </c>
      <c r="D46" s="184" t="s">
        <v>236</v>
      </c>
      <c r="E46" s="185"/>
      <c r="F46" s="185"/>
      <c r="G46" s="369">
        <f>IF(OR(E48=0,F51=0),0,IFERROR((E47*(F51-F49+1)-((E48-E52)*(1+F51-F49)+E52*(1+F53)*(1+F51-F49)))-(E47-E48)-(E52-F52),0))</f>
        <v>0</v>
      </c>
      <c r="H46" s="386"/>
      <c r="I46" s="406" t="s">
        <v>274</v>
      </c>
      <c r="J46" s="448">
        <f>E48*(1+F49)-F48</f>
        <v>0</v>
      </c>
    </row>
    <row r="47" spans="2:10" s="56" customFormat="1" ht="16.5" hidden="1" customHeight="1" x14ac:dyDescent="0.2">
      <c r="B47" s="193"/>
      <c r="C47" s="296" t="s">
        <v>304</v>
      </c>
      <c r="D47" s="55" t="s">
        <v>236</v>
      </c>
      <c r="E47" s="175">
        <f>IF('Чек-лист'!G23="нет",'Чек-лист'!G21,0)</f>
        <v>0</v>
      </c>
      <c r="F47" s="175">
        <f>IFERROR(E47*(F49+1),0)</f>
        <v>0</v>
      </c>
      <c r="G47" s="283"/>
      <c r="I47" s="447"/>
      <c r="J47" s="447"/>
    </row>
    <row r="48" spans="2:10" ht="16.5" hidden="1" customHeight="1" x14ac:dyDescent="0.2">
      <c r="B48" s="194"/>
      <c r="C48" s="296" t="s">
        <v>305</v>
      </c>
      <c r="D48" s="55" t="s">
        <v>236</v>
      </c>
      <c r="E48" s="171">
        <f>IF('Чек-лист'!G23="нет",'Чек-лист'!G22,0)</f>
        <v>0</v>
      </c>
      <c r="F48" s="171">
        <f>IF(E48=0,0,IFERROR((E48-E52)*(1+F49)+E52*(1+F49)*(1+F53),0))</f>
        <v>0</v>
      </c>
      <c r="G48" s="381">
        <f>-F48+E48</f>
        <v>0</v>
      </c>
      <c r="I48" s="406" t="s">
        <v>277</v>
      </c>
      <c r="J48" s="448">
        <f>(E54-F54)*(1+F49)</f>
        <v>0</v>
      </c>
    </row>
    <row r="49" spans="2:11" ht="32" hidden="1" x14ac:dyDescent="0.2">
      <c r="B49" s="194"/>
      <c r="C49" s="297" t="s">
        <v>306</v>
      </c>
      <c r="D49" s="55" t="s">
        <v>39</v>
      </c>
      <c r="E49" s="171"/>
      <c r="F49" s="192">
        <f>IF('Чек-лист'!H20&lt;'Экономический эффект'!F51,IF('Чек-лист'!G23="нет",'Чек-лист'!H20,0),'Экономический эффект'!F51)</f>
        <v>0</v>
      </c>
      <c r="G49" s="283"/>
      <c r="I49" s="406" t="s">
        <v>279</v>
      </c>
      <c r="J49" s="448">
        <f>(E58-F58)*(1+F49)</f>
        <v>0</v>
      </c>
    </row>
    <row r="50" spans="2:11" ht="16" hidden="1" x14ac:dyDescent="0.2">
      <c r="B50" s="194"/>
      <c r="C50" s="296" t="s">
        <v>48</v>
      </c>
      <c r="D50" s="55" t="s">
        <v>50</v>
      </c>
      <c r="E50" s="171">
        <f>IFERROR('Чек-лист'!G54,0)</f>
        <v>0</v>
      </c>
      <c r="F50" s="171">
        <f>IFERROR('Чек-лист'!H54,0)</f>
        <v>0</v>
      </c>
      <c r="G50" s="283"/>
      <c r="I50" s="406" t="s">
        <v>280</v>
      </c>
      <c r="J50" s="448">
        <f>(E64-F64)*(1+F49)</f>
        <v>0</v>
      </c>
    </row>
    <row r="51" spans="2:11" ht="16" hidden="1" x14ac:dyDescent="0.2">
      <c r="B51" s="194"/>
      <c r="C51" s="297" t="s">
        <v>307</v>
      </c>
      <c r="D51" s="55" t="s">
        <v>39</v>
      </c>
      <c r="E51" s="171"/>
      <c r="F51" s="192">
        <f>IFERROR(E50/F50-1,0)</f>
        <v>0</v>
      </c>
      <c r="G51" s="283"/>
    </row>
    <row r="52" spans="2:11" ht="32" hidden="1" x14ac:dyDescent="0.2">
      <c r="B52" s="194"/>
      <c r="C52" s="296" t="s">
        <v>308</v>
      </c>
      <c r="D52" s="55" t="s">
        <v>236</v>
      </c>
      <c r="E52" s="391">
        <f>IFERROR(E54+E58+E64,0)</f>
        <v>0</v>
      </c>
      <c r="F52" s="391">
        <f>IFERROR(F54+F58+F64,0)</f>
        <v>0</v>
      </c>
      <c r="G52" s="381">
        <f>-F52+E52</f>
        <v>0</v>
      </c>
      <c r="J52" s="448"/>
    </row>
    <row r="53" spans="2:11" ht="16" hidden="1" x14ac:dyDescent="0.2">
      <c r="B53" s="194"/>
      <c r="C53" s="297" t="s">
        <v>309</v>
      </c>
      <c r="D53" s="274" t="s">
        <v>39</v>
      </c>
      <c r="E53" s="171"/>
      <c r="F53" s="192">
        <f>IFERROR(F52/E52-1,0)</f>
        <v>0</v>
      </c>
      <c r="G53" s="381"/>
      <c r="I53" s="448"/>
      <c r="K53" s="210"/>
    </row>
    <row r="54" spans="2:11" ht="16.5" hidden="1" customHeight="1" x14ac:dyDescent="0.2">
      <c r="B54" s="194"/>
      <c r="C54" s="296" t="s">
        <v>310</v>
      </c>
      <c r="D54" s="216" t="s">
        <v>236</v>
      </c>
      <c r="E54" s="171">
        <f>IF(E57=0,E55,E57)</f>
        <v>0</v>
      </c>
      <c r="F54" s="171">
        <f>IF(F57=0,F55,F57)</f>
        <v>0</v>
      </c>
      <c r="G54" s="381">
        <f>-F54+-E54</f>
        <v>0</v>
      </c>
    </row>
    <row r="55" spans="2:11" s="61" customFormat="1" ht="16.5" hidden="1" customHeight="1" x14ac:dyDescent="0.2">
      <c r="B55" s="195"/>
      <c r="C55" s="297" t="s">
        <v>311</v>
      </c>
      <c r="D55" s="215" t="s">
        <v>312</v>
      </c>
      <c r="E55" s="174">
        <f>IFERROR('Чек-лист'!G59,0)</f>
        <v>0</v>
      </c>
      <c r="F55" s="174">
        <f>IFERROR('Чек-лист'!H59,0)</f>
        <v>0</v>
      </c>
      <c r="G55" s="382"/>
      <c r="I55" s="449"/>
      <c r="J55" s="449"/>
    </row>
    <row r="56" spans="2:11" s="61" customFormat="1" ht="16.5" hidden="1" customHeight="1" x14ac:dyDescent="0.2">
      <c r="B56" s="195"/>
      <c r="C56" s="298" t="s">
        <v>313</v>
      </c>
      <c r="D56" s="215" t="s">
        <v>39</v>
      </c>
      <c r="E56" s="170"/>
      <c r="F56" s="192">
        <f>IFERROR(F55/E55-1,0)</f>
        <v>0</v>
      </c>
      <c r="G56" s="382"/>
      <c r="I56" s="449"/>
      <c r="J56" s="449"/>
    </row>
    <row r="57" spans="2:11" s="61" customFormat="1" ht="16.5" hidden="1" customHeight="1" x14ac:dyDescent="0.2">
      <c r="B57" s="195"/>
      <c r="C57" s="298" t="s">
        <v>314</v>
      </c>
      <c r="D57" s="215" t="s">
        <v>236</v>
      </c>
      <c r="E57" s="170">
        <f>IFERROR('Чек-лист'!G61,0)</f>
        <v>0</v>
      </c>
      <c r="F57" s="174">
        <f>IFERROR(E57*(1+F56),0)</f>
        <v>0</v>
      </c>
      <c r="G57" s="382"/>
      <c r="I57" s="449"/>
      <c r="J57" s="449"/>
    </row>
    <row r="58" spans="2:11" s="61" customFormat="1" ht="16.5" hidden="1" customHeight="1" x14ac:dyDescent="0.2">
      <c r="B58" s="195"/>
      <c r="C58" s="296" t="s">
        <v>315</v>
      </c>
      <c r="D58" s="216" t="s">
        <v>236</v>
      </c>
      <c r="E58" s="175">
        <f>IFERROR('Чек-лист'!G57,0)</f>
        <v>0</v>
      </c>
      <c r="F58" s="171">
        <f>IFERROR(E58*(1+F63),0)</f>
        <v>0</v>
      </c>
      <c r="G58" s="382"/>
      <c r="I58" s="449"/>
      <c r="J58" s="449"/>
      <c r="K58" s="220"/>
    </row>
    <row r="59" spans="2:11" ht="16.5" hidden="1" customHeight="1" x14ac:dyDescent="0.2">
      <c r="B59" s="194"/>
      <c r="C59" s="297" t="s">
        <v>316</v>
      </c>
      <c r="D59" s="215" t="s">
        <v>312</v>
      </c>
      <c r="E59" s="174">
        <f>(E60*E61*E62)</f>
        <v>0</v>
      </c>
      <c r="F59" s="174">
        <f>(F60*F61*F62)</f>
        <v>0</v>
      </c>
      <c r="G59" s="381">
        <f>-F59+E59</f>
        <v>0</v>
      </c>
    </row>
    <row r="60" spans="2:11" s="61" customFormat="1" ht="16.5" hidden="1" customHeight="1" x14ac:dyDescent="0.2">
      <c r="B60" s="195"/>
      <c r="C60" s="298" t="s">
        <v>57</v>
      </c>
      <c r="D60" s="215" t="s">
        <v>317</v>
      </c>
      <c r="E60" s="174">
        <f>IFERROR('Чек-лист'!G55,0)</f>
        <v>0</v>
      </c>
      <c r="F60" s="174">
        <f>IFERROR('Чек-лист'!H55,0)</f>
        <v>0</v>
      </c>
      <c r="G60" s="382"/>
      <c r="I60" s="450"/>
      <c r="J60" s="449"/>
    </row>
    <row r="61" spans="2:11" s="61" customFormat="1" ht="16.5" hidden="1" customHeight="1" x14ac:dyDescent="0.2">
      <c r="B61" s="195"/>
      <c r="C61" s="298" t="s">
        <v>293</v>
      </c>
      <c r="D61" s="215" t="s">
        <v>63</v>
      </c>
      <c r="E61" s="174">
        <f>IFERROR('Чек-лист'!G56,0)</f>
        <v>0</v>
      </c>
      <c r="F61" s="174">
        <f>IFERROR(IF('Чек-лист'!H56="",'Экономический эффект'!E61,'Чек-лист'!H56),0)</f>
        <v>0</v>
      </c>
      <c r="G61" s="382"/>
      <c r="I61" s="449"/>
      <c r="J61" s="449"/>
    </row>
    <row r="62" spans="2:11" s="61" customFormat="1" ht="16.5" hidden="1" customHeight="1" x14ac:dyDescent="0.2">
      <c r="B62" s="195"/>
      <c r="C62" s="298" t="s">
        <v>294</v>
      </c>
      <c r="D62" s="215" t="s">
        <v>39</v>
      </c>
      <c r="E62" s="173">
        <v>1.3</v>
      </c>
      <c r="F62" s="173">
        <v>1.3</v>
      </c>
      <c r="G62" s="382"/>
      <c r="I62" s="449"/>
      <c r="J62" s="449"/>
    </row>
    <row r="63" spans="2:11" s="61" customFormat="1" ht="16.5" hidden="1" customHeight="1" x14ac:dyDescent="0.2">
      <c r="B63" s="195"/>
      <c r="C63" s="298" t="s">
        <v>318</v>
      </c>
      <c r="D63" s="215" t="s">
        <v>39</v>
      </c>
      <c r="E63" s="173"/>
      <c r="F63" s="192">
        <f>IFERROR(F59/E59-1,0)</f>
        <v>0</v>
      </c>
      <c r="G63" s="382"/>
      <c r="I63" s="449"/>
      <c r="J63" s="449"/>
    </row>
    <row r="64" spans="2:11" s="61" customFormat="1" ht="16.5" hidden="1" customHeight="1" x14ac:dyDescent="0.2">
      <c r="B64" s="195"/>
      <c r="C64" s="296" t="s">
        <v>319</v>
      </c>
      <c r="D64" s="216" t="s">
        <v>236</v>
      </c>
      <c r="E64" s="171">
        <f>IFERROR(IF(E67=0,E65,E67),0)</f>
        <v>0</v>
      </c>
      <c r="F64" s="171">
        <f>IF(F67=0,F65,F67)</f>
        <v>0</v>
      </c>
      <c r="G64" s="382"/>
      <c r="I64" s="449"/>
      <c r="J64" s="449"/>
    </row>
    <row r="65" spans="2:12" ht="16.5" hidden="1" customHeight="1" x14ac:dyDescent="0.2">
      <c r="B65" s="194"/>
      <c r="C65" s="297" t="s">
        <v>320</v>
      </c>
      <c r="D65" s="215" t="s">
        <v>312</v>
      </c>
      <c r="E65" s="174">
        <f>IFERROR('Чек-лист'!G63,0)</f>
        <v>0</v>
      </c>
      <c r="F65" s="174">
        <f>IFERROR('Чек-лист'!H63,0)</f>
        <v>0</v>
      </c>
      <c r="G65" s="381">
        <f>-F65+E65</f>
        <v>0</v>
      </c>
    </row>
    <row r="66" spans="2:12" s="61" customFormat="1" ht="16.5" hidden="1" customHeight="1" x14ac:dyDescent="0.2">
      <c r="B66" s="195"/>
      <c r="C66" s="298" t="s">
        <v>321</v>
      </c>
      <c r="D66" s="215" t="s">
        <v>39</v>
      </c>
      <c r="E66" s="174"/>
      <c r="F66" s="192">
        <f>IFERROR(F65/E65-1,0)</f>
        <v>0</v>
      </c>
      <c r="G66" s="367"/>
      <c r="I66" s="449"/>
      <c r="J66" s="449"/>
    </row>
    <row r="67" spans="2:12" s="56" customFormat="1" hidden="1" x14ac:dyDescent="0.2">
      <c r="B67" s="195"/>
      <c r="C67" s="298" t="s">
        <v>322</v>
      </c>
      <c r="D67" s="215" t="s">
        <v>236</v>
      </c>
      <c r="E67" s="170">
        <f>IFERROR('Чек-лист'!G65,0)</f>
        <v>0</v>
      </c>
      <c r="F67" s="174">
        <f>IFERROR(E67*(1+F66),0)</f>
        <v>0</v>
      </c>
      <c r="G67" s="367"/>
      <c r="I67" s="447"/>
      <c r="J67" s="447"/>
    </row>
    <row r="68" spans="2:12" ht="32" hidden="1" x14ac:dyDescent="0.2">
      <c r="B68" s="194"/>
      <c r="C68" s="297" t="s">
        <v>323</v>
      </c>
      <c r="D68" s="215" t="s">
        <v>236</v>
      </c>
      <c r="E68" s="169">
        <f>IFERROR('Чек-лист'!G171,0)</f>
        <v>0</v>
      </c>
      <c r="F68" s="169">
        <f>IFERROR(E68*(1+F53)*(1+F49),0)</f>
        <v>0</v>
      </c>
      <c r="G68" s="283"/>
    </row>
    <row r="69" spans="2:12" s="59" customFormat="1" ht="16.5" customHeight="1" x14ac:dyDescent="0.2">
      <c r="B69" s="198"/>
      <c r="C69" s="294" t="s">
        <v>324</v>
      </c>
      <c r="D69" s="275" t="s">
        <v>236</v>
      </c>
      <c r="E69" s="176">
        <f>E71-E79*E72</f>
        <v>30583921.752930224</v>
      </c>
      <c r="F69" s="176">
        <f>F71-F79*F72</f>
        <v>34631793.749642774</v>
      </c>
      <c r="G69" s="371">
        <f>F69-E69</f>
        <v>4047871.9967125505</v>
      </c>
      <c r="I69" s="446"/>
      <c r="J69" s="446"/>
    </row>
    <row r="70" spans="2:12" s="59" customFormat="1" ht="16.5" customHeight="1" x14ac:dyDescent="0.2">
      <c r="B70" s="202"/>
      <c r="C70" s="295" t="s">
        <v>267</v>
      </c>
      <c r="D70" s="276" t="s">
        <v>236</v>
      </c>
      <c r="E70" s="185"/>
      <c r="F70" s="185"/>
      <c r="G70" s="372">
        <f>IF(E72&lt;E73,IF(F75&lt;E73,(F73-E73)*(F77-F79),(F73-F75)*(F77-F79)),(F73-F75)*(F77-F79))</f>
        <v>1598390.4807532313</v>
      </c>
      <c r="H70" s="386"/>
      <c r="I70" s="446"/>
      <c r="J70" s="446"/>
    </row>
    <row r="71" spans="2:12" s="56" customFormat="1" ht="16.5" customHeight="1" x14ac:dyDescent="0.2">
      <c r="B71" s="193"/>
      <c r="C71" s="296" t="s">
        <v>269</v>
      </c>
      <c r="D71" s="55" t="s">
        <v>236</v>
      </c>
      <c r="E71" s="175">
        <f>IFERROR(E72*E77,0)</f>
        <v>98983592.559999987</v>
      </c>
      <c r="F71" s="175">
        <f>IFERROR(F72*F77,0)</f>
        <v>112084362.16353326</v>
      </c>
      <c r="G71" s="373">
        <f>F71-E71</f>
        <v>13100769.603533268</v>
      </c>
      <c r="I71" s="447"/>
      <c r="J71" s="447"/>
    </row>
    <row r="72" spans="2:12" ht="16.5" customHeight="1" x14ac:dyDescent="0.2">
      <c r="B72" s="194" t="s">
        <v>325</v>
      </c>
      <c r="C72" s="297" t="s">
        <v>326</v>
      </c>
      <c r="D72" s="54" t="s">
        <v>52</v>
      </c>
      <c r="E72" s="308">
        <f>IFERROR(IF('Чек-лист'!D82=0,'Чек-лист'!G84,'Чек-лист'!D82),0)</f>
        <v>132094.79225352115</v>
      </c>
      <c r="F72" s="308">
        <f>IF(E72&lt;E73,IF(F75&lt;E73,E72,E72+(F75-E73)),F75)</f>
        <v>149577.92652237468</v>
      </c>
      <c r="G72" s="373"/>
      <c r="I72" s="406" t="s">
        <v>273</v>
      </c>
      <c r="J72" s="406">
        <f>(F72-E72)*(E77-E79)</f>
        <v>4047871.9967125426</v>
      </c>
    </row>
    <row r="73" spans="2:12" s="61" customFormat="1" ht="16.5" customHeight="1" x14ac:dyDescent="0.2">
      <c r="B73" s="195" t="s">
        <v>327</v>
      </c>
      <c r="C73" s="298" t="s">
        <v>328</v>
      </c>
      <c r="D73" s="60" t="s">
        <v>52</v>
      </c>
      <c r="E73" s="308">
        <f>IFERROR(IF('Чек-лист'!D83=0,'Чек-лист'!G85,'Чек-лист'!D83),0)</f>
        <v>132094.79225352115</v>
      </c>
      <c r="F73" s="308">
        <f>IFERROR(IF('Чек-лист'!E83=0,'Чек-лист'!G85,'Чек-лист'!E83),0)</f>
        <v>156481.52313110177</v>
      </c>
      <c r="G73" s="374"/>
      <c r="H73" s="389"/>
      <c r="I73" s="406" t="s">
        <v>274</v>
      </c>
      <c r="J73" s="406">
        <f>((F77-F79)-(E77-E79))*F72-J74</f>
        <v>0</v>
      </c>
      <c r="K73" s="52"/>
      <c r="L73" s="52"/>
    </row>
    <row r="74" spans="2:12" s="61" customFormat="1" ht="16.5" customHeight="1" x14ac:dyDescent="0.2">
      <c r="B74" s="195" t="s">
        <v>329</v>
      </c>
      <c r="C74" s="298" t="s">
        <v>330</v>
      </c>
      <c r="D74" s="60" t="s">
        <v>52</v>
      </c>
      <c r="E74" s="170">
        <f>E73-E72</f>
        <v>0</v>
      </c>
      <c r="F74" s="170">
        <f>F73-F72</f>
        <v>6903.5966087270936</v>
      </c>
      <c r="G74" s="374"/>
      <c r="I74" s="406" t="s">
        <v>331</v>
      </c>
      <c r="J74" s="406">
        <f>(F77-E77)*F72</f>
        <v>0</v>
      </c>
      <c r="K74" s="52"/>
      <c r="L74" s="52"/>
    </row>
    <row r="75" spans="2:12" s="61" customFormat="1" ht="16.5" customHeight="1" x14ac:dyDescent="0.2">
      <c r="B75" s="195"/>
      <c r="C75" s="298" t="s">
        <v>332</v>
      </c>
      <c r="D75" s="60" t="s">
        <v>52</v>
      </c>
      <c r="E75" s="170">
        <f>E72</f>
        <v>132094.79225352115</v>
      </c>
      <c r="F75" s="170">
        <f>IFERROR(IF('Чек-лист'!E82=0,'Чек-лист'!G84,'Чек-лист'!E82),0)</f>
        <v>149577.92652237468</v>
      </c>
      <c r="G75" s="374"/>
      <c r="I75" s="406" t="s">
        <v>277</v>
      </c>
      <c r="J75" s="406">
        <f>(E80-F80)*F75</f>
        <v>0</v>
      </c>
    </row>
    <row r="76" spans="2:12" s="61" customFormat="1" ht="16.5" customHeight="1" x14ac:dyDescent="0.2">
      <c r="B76" s="195"/>
      <c r="C76" s="298" t="s">
        <v>333</v>
      </c>
      <c r="D76" s="60" t="s">
        <v>52</v>
      </c>
      <c r="E76" s="170">
        <v>0</v>
      </c>
      <c r="F76" s="170">
        <f>IF(E72&lt;E73,IF(F75&lt;E73,(F73-E73),(F73-F75)),(F73-F75))</f>
        <v>6903.5966087270936</v>
      </c>
      <c r="G76" s="374"/>
      <c r="I76" s="406" t="s">
        <v>279</v>
      </c>
      <c r="J76" s="406">
        <f>(E83-F83)*F75</f>
        <v>0</v>
      </c>
    </row>
    <row r="77" spans="2:12" ht="16.5" customHeight="1" x14ac:dyDescent="0.2">
      <c r="B77" s="194" t="s">
        <v>334</v>
      </c>
      <c r="C77" s="297" t="s">
        <v>335</v>
      </c>
      <c r="D77" s="54" t="s">
        <v>236</v>
      </c>
      <c r="E77" s="169">
        <f>'Чек-лист'!G87</f>
        <v>749.33758455842121</v>
      </c>
      <c r="F77" s="169">
        <f>IF('Чек-лист'!G70="да",'Чек-лист'!H87,E77)</f>
        <v>749.33758455842121</v>
      </c>
      <c r="G77" s="373"/>
      <c r="I77" s="406" t="s">
        <v>280</v>
      </c>
      <c r="J77" s="406">
        <f>(E87-F87)*F72</f>
        <v>0</v>
      </c>
    </row>
    <row r="78" spans="2:12" ht="16.5" customHeight="1" x14ac:dyDescent="0.2">
      <c r="B78" s="194"/>
      <c r="C78" s="296" t="s">
        <v>271</v>
      </c>
      <c r="D78" s="55" t="s">
        <v>236</v>
      </c>
      <c r="E78" s="171">
        <f>E79*E72</f>
        <v>68399670.807069764</v>
      </c>
      <c r="F78" s="171">
        <f>F79*F72</f>
        <v>77452568.413890481</v>
      </c>
      <c r="G78" s="373"/>
      <c r="J78" s="448"/>
    </row>
    <row r="79" spans="2:12" s="56" customFormat="1" ht="16.5" customHeight="1" x14ac:dyDescent="0.2">
      <c r="B79" s="193" t="s">
        <v>336</v>
      </c>
      <c r="C79" s="296" t="s">
        <v>337</v>
      </c>
      <c r="D79" s="57" t="s">
        <v>285</v>
      </c>
      <c r="E79" s="171">
        <f>'Чек-лист'!G88</f>
        <v>517.80747477004707</v>
      </c>
      <c r="F79" s="171">
        <f>E79+G80+G83+G87</f>
        <v>517.80747477004707</v>
      </c>
      <c r="G79" s="383">
        <f>-F79+E79</f>
        <v>0</v>
      </c>
      <c r="H79" s="388"/>
      <c r="I79" s="447"/>
      <c r="J79" s="447"/>
    </row>
    <row r="80" spans="2:12" ht="16.5" customHeight="1" x14ac:dyDescent="0.2">
      <c r="B80" s="194" t="s">
        <v>338</v>
      </c>
      <c r="C80" s="297" t="s">
        <v>286</v>
      </c>
      <c r="D80" s="54" t="s">
        <v>285</v>
      </c>
      <c r="E80" s="169">
        <f>(E81*E82)</f>
        <v>0</v>
      </c>
      <c r="F80" s="169">
        <f>(F81*F82)</f>
        <v>0</v>
      </c>
      <c r="G80" s="440">
        <f>F80-E80</f>
        <v>0</v>
      </c>
      <c r="H80" s="386"/>
    </row>
    <row r="81" spans="2:10" s="61" customFormat="1" ht="16.5" customHeight="1" x14ac:dyDescent="0.2">
      <c r="B81" s="195" t="s">
        <v>339</v>
      </c>
      <c r="C81" s="298" t="s">
        <v>287</v>
      </c>
      <c r="D81" s="60" t="s">
        <v>288</v>
      </c>
      <c r="E81" s="174">
        <f>IFERROR('Чек-лист'!G91,0)</f>
        <v>0</v>
      </c>
      <c r="F81" s="174">
        <f>IFERROR('Чек-лист'!H91,0)</f>
        <v>0</v>
      </c>
      <c r="G81" s="441"/>
      <c r="I81" s="449"/>
      <c r="J81" s="449"/>
    </row>
    <row r="82" spans="2:10" s="61" customFormat="1" ht="16.5" customHeight="1" x14ac:dyDescent="0.2">
      <c r="B82" s="195" t="s">
        <v>340</v>
      </c>
      <c r="C82" s="298" t="s">
        <v>289</v>
      </c>
      <c r="D82" s="60" t="s">
        <v>290</v>
      </c>
      <c r="E82" s="174">
        <f>IFERROR('Чек-лист'!G92,0)</f>
        <v>0</v>
      </c>
      <c r="F82" s="174">
        <f>IFERROR(IF('Чек-лист'!H92="",E82,'Чек-лист'!H92),0)</f>
        <v>0</v>
      </c>
      <c r="G82" s="441"/>
      <c r="I82" s="449"/>
      <c r="J82" s="449"/>
    </row>
    <row r="83" spans="2:10" ht="16.5" customHeight="1" x14ac:dyDescent="0.2">
      <c r="B83" s="194" t="s">
        <v>341</v>
      </c>
      <c r="C83" s="297" t="s">
        <v>291</v>
      </c>
      <c r="D83" s="54" t="s">
        <v>285</v>
      </c>
      <c r="E83" s="169">
        <f>(E84*E85*E86)</f>
        <v>0</v>
      </c>
      <c r="F83" s="169">
        <f>(F84*F85*F86)</f>
        <v>0</v>
      </c>
      <c r="G83" s="440">
        <f>F83-E83</f>
        <v>0</v>
      </c>
      <c r="H83" s="386"/>
    </row>
    <row r="84" spans="2:10" s="61" customFormat="1" ht="16.5" customHeight="1" x14ac:dyDescent="0.2">
      <c r="B84" s="195" t="s">
        <v>342</v>
      </c>
      <c r="C84" s="298" t="s">
        <v>57</v>
      </c>
      <c r="D84" s="60" t="s">
        <v>292</v>
      </c>
      <c r="E84" s="174">
        <f>IFERROR('Чек-лист'!G109,0)</f>
        <v>0</v>
      </c>
      <c r="F84" s="174">
        <f>IFERROR('Чек-лист'!H109,0)</f>
        <v>0</v>
      </c>
      <c r="G84" s="441"/>
      <c r="I84" s="450"/>
      <c r="J84" s="449"/>
    </row>
    <row r="85" spans="2:10" s="61" customFormat="1" ht="16.5" customHeight="1" x14ac:dyDescent="0.2">
      <c r="B85" s="195" t="s">
        <v>343</v>
      </c>
      <c r="C85" s="298" t="s">
        <v>293</v>
      </c>
      <c r="D85" s="60" t="s">
        <v>63</v>
      </c>
      <c r="E85" s="174">
        <f>IFERROR('Чек-лист'!G110,0)</f>
        <v>0</v>
      </c>
      <c r="F85" s="174">
        <f>IFERROR(IF('Чек-лист'!H110="",E85,'Чек-лист'!H110),0)</f>
        <v>0</v>
      </c>
      <c r="G85" s="441"/>
      <c r="I85" s="449"/>
      <c r="J85" s="449"/>
    </row>
    <row r="86" spans="2:10" s="61" customFormat="1" ht="16.5" customHeight="1" x14ac:dyDescent="0.2">
      <c r="B86" s="195" t="s">
        <v>344</v>
      </c>
      <c r="C86" s="298" t="s">
        <v>294</v>
      </c>
      <c r="D86" s="60" t="s">
        <v>39</v>
      </c>
      <c r="E86" s="173">
        <v>1.3</v>
      </c>
      <c r="F86" s="173">
        <v>1.3</v>
      </c>
      <c r="G86" s="441"/>
      <c r="I86" s="449"/>
      <c r="J86" s="449"/>
    </row>
    <row r="87" spans="2:10" ht="16.5" customHeight="1" x14ac:dyDescent="0.2">
      <c r="B87" s="194" t="s">
        <v>345</v>
      </c>
      <c r="C87" s="297" t="s">
        <v>346</v>
      </c>
      <c r="D87" s="54" t="s">
        <v>285</v>
      </c>
      <c r="E87" s="169">
        <f>E88+E91+E94+E97</f>
        <v>0</v>
      </c>
      <c r="F87" s="169">
        <f>F88+F91+F94+F97</f>
        <v>0</v>
      </c>
      <c r="G87" s="440">
        <f>F87-E87</f>
        <v>0</v>
      </c>
      <c r="H87" s="386"/>
    </row>
    <row r="88" spans="2:10" ht="16.5" customHeight="1" x14ac:dyDescent="0.2">
      <c r="B88" s="194" t="s">
        <v>347</v>
      </c>
      <c r="C88" s="297" t="s">
        <v>295</v>
      </c>
      <c r="D88" s="54" t="s">
        <v>285</v>
      </c>
      <c r="E88" s="169">
        <f>(E89*E90)</f>
        <v>0</v>
      </c>
      <c r="F88" s="169">
        <f>(F89*F90)</f>
        <v>0</v>
      </c>
      <c r="G88" s="440">
        <f>F88-E88</f>
        <v>0</v>
      </c>
    </row>
    <row r="89" spans="2:10" s="61" customFormat="1" ht="16.5" customHeight="1" x14ac:dyDescent="0.2">
      <c r="B89" s="194" t="s">
        <v>348</v>
      </c>
      <c r="C89" s="298" t="s">
        <v>349</v>
      </c>
      <c r="D89" s="60" t="s">
        <v>350</v>
      </c>
      <c r="E89" s="174">
        <f>IFERROR('Чек-лист'!G95,0)</f>
        <v>0</v>
      </c>
      <c r="F89" s="174">
        <f>IFERROR('Чек-лист'!H95,0)</f>
        <v>0</v>
      </c>
      <c r="G89" s="441"/>
      <c r="I89" s="449"/>
      <c r="J89" s="449"/>
    </row>
    <row r="90" spans="2:10" s="56" customFormat="1" ht="16.5" customHeight="1" x14ac:dyDescent="0.2">
      <c r="B90" s="194" t="s">
        <v>351</v>
      </c>
      <c r="C90" s="298" t="s">
        <v>352</v>
      </c>
      <c r="D90" s="60" t="s">
        <v>353</v>
      </c>
      <c r="E90" s="174">
        <f>IFERROR('Чек-лист'!G96,0)</f>
        <v>0</v>
      </c>
      <c r="F90" s="174">
        <f>E90</f>
        <v>0</v>
      </c>
      <c r="G90" s="441"/>
      <c r="I90" s="447"/>
      <c r="J90" s="447"/>
    </row>
    <row r="91" spans="2:10" ht="16.5" customHeight="1" x14ac:dyDescent="0.2">
      <c r="B91" s="194" t="s">
        <v>354</v>
      </c>
      <c r="C91" s="297" t="s">
        <v>298</v>
      </c>
      <c r="D91" s="54" t="s">
        <v>285</v>
      </c>
      <c r="E91" s="169">
        <f>(E92*E93)</f>
        <v>0</v>
      </c>
      <c r="F91" s="169">
        <f>(F92*F93)</f>
        <v>0</v>
      </c>
      <c r="G91" s="440">
        <f>F91-E91</f>
        <v>0</v>
      </c>
    </row>
    <row r="92" spans="2:10" s="61" customFormat="1" ht="16.5" customHeight="1" x14ac:dyDescent="0.2">
      <c r="B92" s="194" t="s">
        <v>355</v>
      </c>
      <c r="C92" s="298" t="s">
        <v>287</v>
      </c>
      <c r="D92" s="60" t="s">
        <v>299</v>
      </c>
      <c r="E92" s="174">
        <f>IFERROR('Чек-лист'!G98,0)</f>
        <v>0</v>
      </c>
      <c r="F92" s="174">
        <f>IFERROR('Чек-лист'!H98,0)</f>
        <v>0</v>
      </c>
      <c r="G92" s="441"/>
      <c r="I92" s="449"/>
      <c r="J92" s="449"/>
    </row>
    <row r="93" spans="2:10" s="56" customFormat="1" ht="16.5" customHeight="1" x14ac:dyDescent="0.2">
      <c r="B93" s="194" t="s">
        <v>356</v>
      </c>
      <c r="C93" s="298" t="s">
        <v>297</v>
      </c>
      <c r="D93" s="60" t="s">
        <v>88</v>
      </c>
      <c r="E93" s="174">
        <f>IFERROR('Чек-лист'!G99,0)</f>
        <v>0</v>
      </c>
      <c r="F93" s="174">
        <f>E93</f>
        <v>0</v>
      </c>
      <c r="G93" s="441"/>
      <c r="I93" s="447"/>
      <c r="J93" s="447"/>
    </row>
    <row r="94" spans="2:10" ht="16.5" customHeight="1" x14ac:dyDescent="0.2">
      <c r="B94" s="194" t="s">
        <v>357</v>
      </c>
      <c r="C94" s="297" t="s">
        <v>300</v>
      </c>
      <c r="D94" s="54" t="s">
        <v>285</v>
      </c>
      <c r="E94" s="169">
        <f>(E95*E96)</f>
        <v>0</v>
      </c>
      <c r="F94" s="169">
        <f>(F95*F96)</f>
        <v>0</v>
      </c>
      <c r="G94" s="440">
        <f>-F94+E94</f>
        <v>0</v>
      </c>
    </row>
    <row r="95" spans="2:10" s="61" customFormat="1" ht="16.5" customHeight="1" x14ac:dyDescent="0.2">
      <c r="B95" s="194" t="s">
        <v>358</v>
      </c>
      <c r="C95" s="298" t="s">
        <v>287</v>
      </c>
      <c r="D95" s="60" t="s">
        <v>299</v>
      </c>
      <c r="E95" s="174">
        <f>IFERROR('Чек-лист'!G101,0)</f>
        <v>0</v>
      </c>
      <c r="F95" s="174">
        <f>IFERROR('Чек-лист'!H101,0)</f>
        <v>0</v>
      </c>
      <c r="G95" s="441"/>
      <c r="I95" s="449"/>
      <c r="J95" s="449"/>
    </row>
    <row r="96" spans="2:10" s="56" customFormat="1" ht="16.5" customHeight="1" x14ac:dyDescent="0.2">
      <c r="B96" s="194" t="s">
        <v>359</v>
      </c>
      <c r="C96" s="298" t="s">
        <v>297</v>
      </c>
      <c r="D96" s="60" t="s">
        <v>88</v>
      </c>
      <c r="E96" s="174">
        <f>IFERROR('Чек-лист'!G102,0)</f>
        <v>0</v>
      </c>
      <c r="F96" s="174">
        <f>E96</f>
        <v>0</v>
      </c>
      <c r="G96" s="441"/>
      <c r="I96" s="447"/>
      <c r="J96" s="447"/>
    </row>
    <row r="97" spans="2:10" ht="16.5" customHeight="1" x14ac:dyDescent="0.2">
      <c r="B97" s="194" t="s">
        <v>360</v>
      </c>
      <c r="C97" s="297" t="s">
        <v>301</v>
      </c>
      <c r="D97" s="54" t="s">
        <v>285</v>
      </c>
      <c r="E97" s="169">
        <f>(E98*E99)</f>
        <v>0</v>
      </c>
      <c r="F97" s="169">
        <f>(F98*F99)</f>
        <v>0</v>
      </c>
      <c r="G97" s="440">
        <f>-F97+E97</f>
        <v>0</v>
      </c>
    </row>
    <row r="98" spans="2:10" s="61" customFormat="1" ht="16.5" customHeight="1" x14ac:dyDescent="0.2">
      <c r="B98" s="194" t="s">
        <v>361</v>
      </c>
      <c r="C98" s="298" t="s">
        <v>287</v>
      </c>
      <c r="D98" s="60" t="s">
        <v>302</v>
      </c>
      <c r="E98" s="174">
        <f>IFERROR('Чек-лист'!G104,0)</f>
        <v>0</v>
      </c>
      <c r="F98" s="174">
        <f>IFERROR('Чек-лист'!H104,0)</f>
        <v>0</v>
      </c>
      <c r="G98" s="441"/>
      <c r="I98" s="449"/>
      <c r="J98" s="449"/>
    </row>
    <row r="99" spans="2:10" s="56" customFormat="1" ht="16.5" customHeight="1" x14ac:dyDescent="0.2">
      <c r="B99" s="194" t="s">
        <v>362</v>
      </c>
      <c r="C99" s="298" t="s">
        <v>297</v>
      </c>
      <c r="D99" s="60" t="s">
        <v>93</v>
      </c>
      <c r="E99" s="174">
        <f>IFERROR('Чек-лист'!G105,0)</f>
        <v>0</v>
      </c>
      <c r="F99" s="174">
        <f>E99</f>
        <v>0</v>
      </c>
      <c r="G99" s="441"/>
      <c r="I99" s="447"/>
      <c r="J99" s="447"/>
    </row>
    <row r="100" spans="2:10" s="59" customFormat="1" ht="16.5" hidden="1" customHeight="1" x14ac:dyDescent="0.2">
      <c r="B100" s="435"/>
      <c r="C100" s="412" t="s">
        <v>363</v>
      </c>
      <c r="D100" s="413" t="s">
        <v>236</v>
      </c>
      <c r="E100" s="414">
        <f>E102-E105</f>
        <v>0</v>
      </c>
      <c r="F100" s="414">
        <f>F102-F105</f>
        <v>0</v>
      </c>
      <c r="G100" s="415">
        <f>F100-E100</f>
        <v>0</v>
      </c>
      <c r="I100" s="446"/>
      <c r="J100" s="446"/>
    </row>
    <row r="101" spans="2:10" s="59" customFormat="1" ht="16.5" hidden="1" customHeight="1" x14ac:dyDescent="0.2">
      <c r="B101" s="436"/>
      <c r="C101" s="416" t="s">
        <v>267</v>
      </c>
      <c r="D101" s="417" t="s">
        <v>236</v>
      </c>
      <c r="E101" s="418"/>
      <c r="F101" s="418"/>
      <c r="G101" s="419"/>
      <c r="H101" s="386"/>
      <c r="I101" s="445"/>
      <c r="J101" s="446"/>
    </row>
    <row r="102" spans="2:10" s="56" customFormat="1" ht="16.5" hidden="1" customHeight="1" x14ac:dyDescent="0.2">
      <c r="B102" s="437"/>
      <c r="C102" s="420" t="s">
        <v>364</v>
      </c>
      <c r="D102" s="421" t="s">
        <v>236</v>
      </c>
      <c r="E102" s="422">
        <f>IF(E103=0,0,E103-E71)</f>
        <v>0</v>
      </c>
      <c r="F102" s="422">
        <f>E102*(F104+1)*(1-G107)</f>
        <v>0</v>
      </c>
      <c r="G102" s="423">
        <f>F102-E102</f>
        <v>0</v>
      </c>
      <c r="I102" s="447"/>
      <c r="J102" s="447"/>
    </row>
    <row r="103" spans="2:10" ht="16.5" hidden="1" customHeight="1" x14ac:dyDescent="0.2">
      <c r="B103" s="438"/>
      <c r="C103" s="424" t="s">
        <v>365</v>
      </c>
      <c r="D103" s="425" t="s">
        <v>236</v>
      </c>
      <c r="E103" s="426">
        <f>IFERROR('Чек-лист'!G114,0)</f>
        <v>0</v>
      </c>
      <c r="F103" s="426"/>
      <c r="G103" s="427"/>
    </row>
    <row r="104" spans="2:10" s="61" customFormat="1" ht="16.5" hidden="1" customHeight="1" x14ac:dyDescent="0.2">
      <c r="B104" s="439"/>
      <c r="C104" s="424" t="s">
        <v>366</v>
      </c>
      <c r="D104" s="425" t="s">
        <v>39</v>
      </c>
      <c r="E104" s="428"/>
      <c r="F104" s="429">
        <f>IFERROR('Чек-лист'!H113,0)</f>
        <v>0</v>
      </c>
      <c r="G104" s="430"/>
      <c r="I104" s="449"/>
      <c r="J104" s="449"/>
    </row>
    <row r="105" spans="2:10" ht="16.5" hidden="1" customHeight="1" x14ac:dyDescent="0.2">
      <c r="B105" s="438"/>
      <c r="C105" s="420" t="s">
        <v>367</v>
      </c>
      <c r="D105" s="421" t="s">
        <v>236</v>
      </c>
      <c r="E105" s="431">
        <f>IF(E106=0,0,E106-E78)</f>
        <v>0</v>
      </c>
      <c r="F105" s="431">
        <f>E105*(1+F104)*(1-G107)</f>
        <v>0</v>
      </c>
      <c r="G105" s="427"/>
    </row>
    <row r="106" spans="2:10" s="56" customFormat="1" ht="16.5" hidden="1" customHeight="1" x14ac:dyDescent="0.2">
      <c r="B106" s="437"/>
      <c r="C106" s="424" t="s">
        <v>271</v>
      </c>
      <c r="D106" s="425" t="s">
        <v>236</v>
      </c>
      <c r="E106" s="431">
        <f>IFERROR('Чек-лист'!G115,0)</f>
        <v>0</v>
      </c>
      <c r="F106" s="431"/>
      <c r="G106" s="419"/>
      <c r="H106" s="388"/>
      <c r="I106" s="447"/>
      <c r="J106" s="447"/>
    </row>
    <row r="107" spans="2:10" ht="16.5" hidden="1" customHeight="1" x14ac:dyDescent="0.2">
      <c r="B107" s="438"/>
      <c r="C107" s="420" t="s">
        <v>368</v>
      </c>
      <c r="D107" s="432" t="s">
        <v>39</v>
      </c>
      <c r="E107" s="433">
        <f>'Чек-лист'!G72</f>
        <v>0</v>
      </c>
      <c r="F107" s="433">
        <f>'Чек-лист'!H72</f>
        <v>0</v>
      </c>
      <c r="G107" s="434">
        <f>F107-E107</f>
        <v>0</v>
      </c>
    </row>
    <row r="108" spans="2:10" s="59" customFormat="1" ht="16.5" hidden="1" customHeight="1" x14ac:dyDescent="0.2">
      <c r="B108" s="198"/>
      <c r="C108" s="294" t="s">
        <v>369</v>
      </c>
      <c r="D108" s="58" t="s">
        <v>236</v>
      </c>
      <c r="E108" s="123">
        <f>IF(E110=0,E118,E110-E116)</f>
        <v>0</v>
      </c>
      <c r="F108" s="123">
        <f>IF(F110=0,F118,F110-F116)</f>
        <v>0</v>
      </c>
      <c r="G108" s="369">
        <f>F108-E108</f>
        <v>0</v>
      </c>
      <c r="I108" s="406"/>
      <c r="J108" s="446"/>
    </row>
    <row r="109" spans="2:10" s="59" customFormat="1" ht="16.5" hidden="1" customHeight="1" x14ac:dyDescent="0.2">
      <c r="B109" s="202"/>
      <c r="C109" s="295" t="s">
        <v>267</v>
      </c>
      <c r="D109" s="184" t="s">
        <v>236</v>
      </c>
      <c r="E109" s="185"/>
      <c r="F109" s="185"/>
      <c r="G109" s="370">
        <f>(E110*(F115)-(F117-F116))</f>
        <v>0</v>
      </c>
      <c r="H109" s="386"/>
      <c r="I109" s="406"/>
      <c r="J109" s="446"/>
    </row>
    <row r="110" spans="2:10" s="56" customFormat="1" ht="16.5" hidden="1" customHeight="1" x14ac:dyDescent="0.2">
      <c r="B110" s="193"/>
      <c r="C110" s="296" t="s">
        <v>269</v>
      </c>
      <c r="D110" s="55" t="s">
        <v>236</v>
      </c>
      <c r="E110" s="124">
        <f>IFERROR('Чек-лист'!G126,0)</f>
        <v>0</v>
      </c>
      <c r="F110" s="124">
        <f>E110*(F114+1)</f>
        <v>0</v>
      </c>
      <c r="G110" s="381">
        <f>F110-E110</f>
        <v>0</v>
      </c>
      <c r="I110" s="406"/>
      <c r="J110" s="447"/>
    </row>
    <row r="111" spans="2:10" ht="16.5" hidden="1" customHeight="1" x14ac:dyDescent="0.2">
      <c r="B111" s="194"/>
      <c r="C111" s="298" t="s">
        <v>370</v>
      </c>
      <c r="D111" s="60" t="s">
        <v>50</v>
      </c>
      <c r="E111" s="170">
        <f>IFERROR(IF('Чек-лист'!G122&gt;0,'Чек-лист'!G122,'Чек-лист'!G123*'Чек-лист'!G124*'Чек-лист'!G125*60),0)</f>
        <v>0</v>
      </c>
      <c r="F111" s="170">
        <f>IFERROR(IF('Чек-лист'!H122&gt;0,'Чек-лист'!H122,'Чек-лист'!H123*'Чек-лист'!H124*'Чек-лист'!H125*60),0)</f>
        <v>0</v>
      </c>
      <c r="G111" s="283"/>
    </row>
    <row r="112" spans="2:10" s="61" customFormat="1" ht="16.5" hidden="1" customHeight="1" x14ac:dyDescent="0.2">
      <c r="B112" s="195"/>
      <c r="C112" s="298" t="s">
        <v>136</v>
      </c>
      <c r="D112" s="60" t="s">
        <v>52</v>
      </c>
      <c r="E112" s="170">
        <f>IFERROR(IF('Чек-лист'!G120&lt;'Чек-лист'!G119,E111/'Чек-лист'!G119,E111/'Чек-лист'!G120),0)</f>
        <v>0</v>
      </c>
      <c r="F112" s="170">
        <f>IFERROR(IF('Чек-лист'!H120&lt;'Чек-лист'!H119,F111/'Чек-лист'!H119,F111/'Чек-лист'!H120),0)</f>
        <v>0</v>
      </c>
      <c r="G112" s="367"/>
      <c r="I112" s="406" t="s">
        <v>273</v>
      </c>
      <c r="J112" s="458">
        <f>IFERROR((F112-E112)*(E108/E112),0)</f>
        <v>0</v>
      </c>
    </row>
    <row r="113" spans="2:11" ht="16.5" hidden="1" customHeight="1" x14ac:dyDescent="0.2">
      <c r="B113" s="194"/>
      <c r="C113" s="298" t="s">
        <v>137</v>
      </c>
      <c r="D113" s="60" t="s">
        <v>52</v>
      </c>
      <c r="E113" s="170">
        <f>IFERROR(E111/'Чек-лист'!G119,0)</f>
        <v>0</v>
      </c>
      <c r="F113" s="170">
        <f>IFERROR(F111/'Чек-лист'!H119,0)</f>
        <v>0</v>
      </c>
      <c r="G113" s="283"/>
      <c r="I113" s="406" t="s">
        <v>274</v>
      </c>
      <c r="J113" s="458">
        <f>IFERROR((F108/F112-E108/E112)*F112,0)</f>
        <v>0</v>
      </c>
    </row>
    <row r="114" spans="2:11" s="61" customFormat="1" ht="16.5" hidden="1" customHeight="1" x14ac:dyDescent="0.2">
      <c r="B114" s="195"/>
      <c r="C114" s="298" t="s">
        <v>371</v>
      </c>
      <c r="D114" s="60" t="s">
        <v>39</v>
      </c>
      <c r="E114" s="170"/>
      <c r="F114" s="173">
        <f>IFERROR(F112/E112-1,0)</f>
        <v>0</v>
      </c>
      <c r="G114" s="367"/>
      <c r="I114" s="406" t="s">
        <v>277</v>
      </c>
      <c r="J114" s="448">
        <f>(E120-F120)*(1+F114)</f>
        <v>0</v>
      </c>
    </row>
    <row r="115" spans="2:11" s="61" customFormat="1" ht="16.5" hidden="1" customHeight="1" x14ac:dyDescent="0.2">
      <c r="B115" s="195"/>
      <c r="C115" s="298" t="s">
        <v>372</v>
      </c>
      <c r="D115" s="60" t="s">
        <v>39</v>
      </c>
      <c r="E115" s="170"/>
      <c r="F115" s="173">
        <f>IFERROR(F113/E112-1-F114,0)</f>
        <v>0</v>
      </c>
      <c r="G115" s="367"/>
      <c r="I115" s="406" t="s">
        <v>279</v>
      </c>
      <c r="J115" s="448">
        <f>(E124-F124)*(1+F114)</f>
        <v>0</v>
      </c>
    </row>
    <row r="116" spans="2:11" s="61" customFormat="1" ht="16.5" hidden="1" customHeight="1" x14ac:dyDescent="0.2">
      <c r="B116" s="195"/>
      <c r="C116" s="296" t="s">
        <v>271</v>
      </c>
      <c r="D116" s="55" t="s">
        <v>236</v>
      </c>
      <c r="E116" s="171">
        <f>IFERROR('Чек-лист'!G127,0)</f>
        <v>0</v>
      </c>
      <c r="F116" s="171">
        <f>IFERROR((E116-E118)*(1+F114)+E118*(1+F114)*(1+F119),0)</f>
        <v>0</v>
      </c>
      <c r="G116" s="273" t="s">
        <v>373</v>
      </c>
      <c r="I116" s="406" t="s">
        <v>280</v>
      </c>
      <c r="J116" s="448">
        <f>(E130-F130)*(1+F114)</f>
        <v>0</v>
      </c>
    </row>
    <row r="117" spans="2:11" s="61" customFormat="1" ht="16.5" hidden="1" customHeight="1" x14ac:dyDescent="0.2">
      <c r="B117" s="195"/>
      <c r="C117" s="296" t="s">
        <v>374</v>
      </c>
      <c r="D117" s="55" t="s">
        <v>236</v>
      </c>
      <c r="E117" s="171">
        <f>E116</f>
        <v>0</v>
      </c>
      <c r="F117" s="171">
        <f>IFERROR((E116-E118)*(1+F115+F114)+E118*(1+F115+F114)*(1+F119),0)</f>
        <v>0</v>
      </c>
      <c r="G117" s="273" t="s">
        <v>375</v>
      </c>
      <c r="I117" s="449"/>
      <c r="J117" s="449"/>
    </row>
    <row r="118" spans="2:11" ht="16.5" hidden="1" customHeight="1" x14ac:dyDescent="0.2">
      <c r="B118" s="194"/>
      <c r="C118" s="296" t="s">
        <v>376</v>
      </c>
      <c r="D118" s="55" t="s">
        <v>236</v>
      </c>
      <c r="E118" s="171">
        <f>IFERROR(E120+E124+E130,0)</f>
        <v>0</v>
      </c>
      <c r="F118" s="171">
        <f>IFERROR(F120+F124+F130,0)</f>
        <v>0</v>
      </c>
      <c r="G118" s="381">
        <f>-F118+E118</f>
        <v>0</v>
      </c>
      <c r="I118" s="448"/>
      <c r="J118" s="448"/>
    </row>
    <row r="119" spans="2:11" ht="16.5" hidden="1" customHeight="1" x14ac:dyDescent="0.2">
      <c r="B119" s="194"/>
      <c r="C119" s="297" t="s">
        <v>377</v>
      </c>
      <c r="D119" s="55" t="s">
        <v>39</v>
      </c>
      <c r="E119" s="171"/>
      <c r="F119" s="192">
        <f>IFERROR(F118/E118-1,0)</f>
        <v>0</v>
      </c>
      <c r="G119" s="283"/>
      <c r="I119" s="448"/>
      <c r="K119" s="210"/>
    </row>
    <row r="120" spans="2:11" ht="16.5" hidden="1" customHeight="1" x14ac:dyDescent="0.2">
      <c r="B120" s="194"/>
      <c r="C120" s="296" t="s">
        <v>378</v>
      </c>
      <c r="D120" s="216" t="s">
        <v>236</v>
      </c>
      <c r="E120" s="171">
        <f>IF(E123=0,E121,E123)</f>
        <v>0</v>
      </c>
      <c r="F120" s="171">
        <f>IF(F123=0,F121,F123)</f>
        <v>0</v>
      </c>
      <c r="G120" s="381">
        <f>-F120+E120</f>
        <v>0</v>
      </c>
    </row>
    <row r="121" spans="2:11" s="61" customFormat="1" ht="16.5" hidden="1" customHeight="1" x14ac:dyDescent="0.2">
      <c r="B121" s="195"/>
      <c r="C121" s="297" t="s">
        <v>379</v>
      </c>
      <c r="D121" s="215" t="s">
        <v>99</v>
      </c>
      <c r="E121" s="174">
        <f>IFERROR('Чек-лист'!G137,0)</f>
        <v>0</v>
      </c>
      <c r="F121" s="174">
        <f>IFERROR('Чек-лист'!H137,0)</f>
        <v>0</v>
      </c>
      <c r="G121" s="382"/>
      <c r="I121" s="449"/>
      <c r="J121" s="449"/>
    </row>
    <row r="122" spans="2:11" s="61" customFormat="1" ht="16.5" hidden="1" customHeight="1" x14ac:dyDescent="0.2">
      <c r="B122" s="195"/>
      <c r="C122" s="298" t="s">
        <v>313</v>
      </c>
      <c r="D122" s="215" t="s">
        <v>39</v>
      </c>
      <c r="E122" s="170"/>
      <c r="F122" s="192">
        <f>IFERROR(F121/E121-1,0)</f>
        <v>0</v>
      </c>
      <c r="G122" s="382"/>
      <c r="I122" s="449"/>
      <c r="J122" s="449"/>
    </row>
    <row r="123" spans="2:11" s="61" customFormat="1" ht="16.5" hidden="1" customHeight="1" x14ac:dyDescent="0.2">
      <c r="B123" s="195"/>
      <c r="C123" s="298" t="s">
        <v>314</v>
      </c>
      <c r="D123" s="215" t="s">
        <v>236</v>
      </c>
      <c r="E123" s="174">
        <f>IFERROR('Чек-лист'!G139,0)</f>
        <v>0</v>
      </c>
      <c r="F123" s="174">
        <f>IFERROR(E123*(1+F122),0)</f>
        <v>0</v>
      </c>
      <c r="G123" s="382"/>
      <c r="I123" s="449"/>
      <c r="J123" s="449"/>
    </row>
    <row r="124" spans="2:11" s="61" customFormat="1" ht="16.5" hidden="1" customHeight="1" x14ac:dyDescent="0.2">
      <c r="B124" s="195"/>
      <c r="C124" s="296" t="s">
        <v>380</v>
      </c>
      <c r="D124" s="216" t="s">
        <v>236</v>
      </c>
      <c r="E124" s="175">
        <f>IFERROR('Чек-лист'!G135,0)</f>
        <v>0</v>
      </c>
      <c r="F124" s="171">
        <f>IFERROR(E124*(1+F129),0)</f>
        <v>0</v>
      </c>
      <c r="G124" s="382"/>
      <c r="I124" s="449"/>
      <c r="J124" s="449"/>
    </row>
    <row r="125" spans="2:11" ht="16.5" hidden="1" customHeight="1" x14ac:dyDescent="0.2">
      <c r="B125" s="194"/>
      <c r="C125" s="297" t="s">
        <v>381</v>
      </c>
      <c r="D125" s="215" t="s">
        <v>99</v>
      </c>
      <c r="E125" s="317">
        <f>(E126*E127*E128)</f>
        <v>0</v>
      </c>
      <c r="F125" s="174">
        <f>(F126*F127*F128)</f>
        <v>0</v>
      </c>
      <c r="G125" s="381">
        <f>-F125+E125</f>
        <v>0</v>
      </c>
    </row>
    <row r="126" spans="2:11" s="61" customFormat="1" ht="16.5" hidden="1" customHeight="1" x14ac:dyDescent="0.2">
      <c r="B126" s="195"/>
      <c r="C126" s="298" t="s">
        <v>57</v>
      </c>
      <c r="D126" s="215" t="s">
        <v>382</v>
      </c>
      <c r="E126" s="174">
        <f>IFERROR('Чек-лист'!G133,0)</f>
        <v>0</v>
      </c>
      <c r="F126" s="174">
        <f>IFERROR('Чек-лист'!H133,0)</f>
        <v>0</v>
      </c>
      <c r="G126" s="382"/>
      <c r="I126" s="450"/>
      <c r="J126" s="449"/>
    </row>
    <row r="127" spans="2:11" s="61" customFormat="1" ht="16.5" hidden="1" customHeight="1" x14ac:dyDescent="0.2">
      <c r="B127" s="195"/>
      <c r="C127" s="298" t="s">
        <v>293</v>
      </c>
      <c r="D127" s="215" t="s">
        <v>63</v>
      </c>
      <c r="E127" s="174">
        <f>IFERROR('Чек-лист'!G134,0)</f>
        <v>0</v>
      </c>
      <c r="F127" s="174">
        <f>IFERROR(IF('Чек-лист'!H134="",'Экономический эффект'!E127,'Чек-лист'!H134),0)</f>
        <v>0</v>
      </c>
      <c r="G127" s="382"/>
      <c r="I127" s="449"/>
      <c r="J127" s="449"/>
    </row>
    <row r="128" spans="2:11" s="61" customFormat="1" ht="16.5" hidden="1" customHeight="1" x14ac:dyDescent="0.2">
      <c r="B128" s="195"/>
      <c r="C128" s="298" t="s">
        <v>294</v>
      </c>
      <c r="D128" s="215" t="s">
        <v>39</v>
      </c>
      <c r="E128" s="173">
        <v>1.3</v>
      </c>
      <c r="F128" s="173">
        <v>1.3</v>
      </c>
      <c r="G128" s="382"/>
      <c r="I128" s="449"/>
      <c r="J128" s="449"/>
    </row>
    <row r="129" spans="2:10" s="61" customFormat="1" ht="16.5" hidden="1" customHeight="1" x14ac:dyDescent="0.2">
      <c r="B129" s="195"/>
      <c r="C129" s="298" t="s">
        <v>318</v>
      </c>
      <c r="D129" s="215" t="s">
        <v>39</v>
      </c>
      <c r="E129" s="217"/>
      <c r="F129" s="218">
        <f>IFERROR(F125/E125-1,0)</f>
        <v>0</v>
      </c>
      <c r="G129" s="382"/>
      <c r="I129" s="449"/>
      <c r="J129" s="449"/>
    </row>
    <row r="130" spans="2:10" s="61" customFormat="1" ht="16.5" hidden="1" customHeight="1" x14ac:dyDescent="0.2">
      <c r="B130" s="195"/>
      <c r="C130" s="296" t="s">
        <v>383</v>
      </c>
      <c r="D130" s="216" t="s">
        <v>236</v>
      </c>
      <c r="E130" s="318">
        <f>IFERROR(IF(E133=0,E131,E133),0)</f>
        <v>0</v>
      </c>
      <c r="F130" s="318">
        <f>IF(F133=0,F131,F133)</f>
        <v>0</v>
      </c>
      <c r="G130" s="382"/>
      <c r="I130" s="449"/>
      <c r="J130" s="449"/>
    </row>
    <row r="131" spans="2:10" ht="16.5" hidden="1" customHeight="1" x14ac:dyDescent="0.2">
      <c r="B131" s="194"/>
      <c r="C131" s="297" t="s">
        <v>384</v>
      </c>
      <c r="D131" s="215" t="s">
        <v>99</v>
      </c>
      <c r="E131" s="319">
        <f>IFERROR('Чек-лист'!G141,0)</f>
        <v>0</v>
      </c>
      <c r="F131" s="174">
        <f>IFERROR('Чек-лист'!H141,0)</f>
        <v>0</v>
      </c>
      <c r="G131" s="381">
        <f>-F131+E131</f>
        <v>0</v>
      </c>
    </row>
    <row r="132" spans="2:10" s="61" customFormat="1" ht="16.5" hidden="1" customHeight="1" x14ac:dyDescent="0.2">
      <c r="B132" s="195"/>
      <c r="C132" s="298" t="s">
        <v>321</v>
      </c>
      <c r="D132" s="215" t="s">
        <v>39</v>
      </c>
      <c r="E132" s="219"/>
      <c r="F132" s="218">
        <f>IFERROR(F131/E131-1,0)</f>
        <v>0</v>
      </c>
      <c r="G132" s="382"/>
      <c r="I132" s="449"/>
      <c r="J132" s="449"/>
    </row>
    <row r="133" spans="2:10" s="56" customFormat="1" ht="16.5" hidden="1" customHeight="1" x14ac:dyDescent="0.2">
      <c r="B133" s="195"/>
      <c r="C133" s="298" t="s">
        <v>322</v>
      </c>
      <c r="D133" s="215" t="s">
        <v>236</v>
      </c>
      <c r="E133" s="219">
        <f>IFERROR('Чек-лист'!G143,0)</f>
        <v>0</v>
      </c>
      <c r="F133" s="219">
        <f>IFERROR(E133*(1+F132),0)</f>
        <v>0</v>
      </c>
      <c r="G133" s="368"/>
      <c r="I133" s="447"/>
      <c r="J133" s="447"/>
    </row>
    <row r="134" spans="2:10" ht="16.5" customHeight="1" x14ac:dyDescent="0.2">
      <c r="B134" s="197"/>
      <c r="C134" s="338"/>
      <c r="D134" s="339"/>
      <c r="E134" s="340"/>
      <c r="F134" s="340"/>
      <c r="G134" s="379"/>
    </row>
    <row r="135" spans="2:10" s="59" customFormat="1" ht="16.5" customHeight="1" x14ac:dyDescent="0.2">
      <c r="B135" s="198" t="s">
        <v>385</v>
      </c>
      <c r="C135" s="294" t="s">
        <v>386</v>
      </c>
      <c r="D135" s="58" t="s">
        <v>236</v>
      </c>
      <c r="E135" s="123">
        <f>E136+E137+E141</f>
        <v>0</v>
      </c>
      <c r="F135" s="123">
        <f>F136+F137+F141</f>
        <v>0</v>
      </c>
      <c r="G135" s="371">
        <f>E135-F135</f>
        <v>0</v>
      </c>
      <c r="I135" s="446"/>
      <c r="J135" s="446"/>
    </row>
    <row r="136" spans="2:10" ht="16.5" customHeight="1" x14ac:dyDescent="0.2">
      <c r="B136" s="193" t="s">
        <v>387</v>
      </c>
      <c r="C136" s="296" t="s">
        <v>388</v>
      </c>
      <c r="D136" s="57" t="s">
        <v>236</v>
      </c>
      <c r="E136" s="171">
        <f>IFERROR('Чек-лист'!G162,0)</f>
        <v>0</v>
      </c>
      <c r="F136" s="171">
        <f>IFERROR('Чек-лист'!H162,0)</f>
        <v>0</v>
      </c>
      <c r="G136" s="375">
        <f>-F136+E136</f>
        <v>0</v>
      </c>
    </row>
    <row r="137" spans="2:10" ht="16.5" customHeight="1" x14ac:dyDescent="0.2">
      <c r="B137" s="193" t="s">
        <v>389</v>
      </c>
      <c r="C137" s="296" t="s">
        <v>390</v>
      </c>
      <c r="D137" s="57" t="s">
        <v>236</v>
      </c>
      <c r="E137" s="171">
        <f>E138*E139*E140</f>
        <v>0</v>
      </c>
      <c r="F137" s="171">
        <f>F138*F139*F140</f>
        <v>0</v>
      </c>
      <c r="G137" s="375">
        <f>-F137+E137</f>
        <v>0</v>
      </c>
    </row>
    <row r="138" spans="2:10" s="61" customFormat="1" ht="16.5" customHeight="1" x14ac:dyDescent="0.2">
      <c r="B138" s="195" t="s">
        <v>391</v>
      </c>
      <c r="C138" s="298" t="s">
        <v>392</v>
      </c>
      <c r="D138" s="60" t="s">
        <v>393</v>
      </c>
      <c r="E138" s="170">
        <f>IFERROR('Чек-лист'!G146,0)</f>
        <v>0</v>
      </c>
      <c r="F138" s="170">
        <f>IFERROR('Чек-лист'!H146,0)</f>
        <v>0</v>
      </c>
      <c r="G138" s="373">
        <f t="shared" ref="G138:G140" si="0">F138-E138</f>
        <v>0</v>
      </c>
      <c r="I138" s="449"/>
      <c r="J138" s="449"/>
    </row>
    <row r="139" spans="2:10" s="61" customFormat="1" ht="16.5" customHeight="1" x14ac:dyDescent="0.2">
      <c r="B139" s="195" t="s">
        <v>394</v>
      </c>
      <c r="C139" s="298" t="s">
        <v>395</v>
      </c>
      <c r="D139" s="60" t="s">
        <v>396</v>
      </c>
      <c r="E139" s="170">
        <f>IFERROR('Чек-лист'!G147*12,0)</f>
        <v>0</v>
      </c>
      <c r="F139" s="170">
        <f>E139</f>
        <v>0</v>
      </c>
      <c r="G139" s="373">
        <f t="shared" si="0"/>
        <v>0</v>
      </c>
      <c r="I139" s="449"/>
      <c r="J139" s="449"/>
    </row>
    <row r="140" spans="2:10" s="61" customFormat="1" ht="16.5" customHeight="1" x14ac:dyDescent="0.2">
      <c r="B140" s="195" t="s">
        <v>397</v>
      </c>
      <c r="C140" s="298" t="s">
        <v>294</v>
      </c>
      <c r="D140" s="60" t="s">
        <v>39</v>
      </c>
      <c r="E140" s="173">
        <v>1.3</v>
      </c>
      <c r="F140" s="173">
        <v>1.3</v>
      </c>
      <c r="G140" s="373">
        <f t="shared" si="0"/>
        <v>0</v>
      </c>
      <c r="I140" s="449"/>
      <c r="J140" s="449"/>
    </row>
    <row r="141" spans="2:10" ht="16.5" customHeight="1" x14ac:dyDescent="0.2">
      <c r="B141" s="193" t="s">
        <v>398</v>
      </c>
      <c r="C141" s="296" t="s">
        <v>399</v>
      </c>
      <c r="D141" s="57" t="s">
        <v>236</v>
      </c>
      <c r="E141" s="171">
        <f>E142+E145+E148+E151</f>
        <v>0</v>
      </c>
      <c r="F141" s="171">
        <f>F142+F145+F148+F151</f>
        <v>0</v>
      </c>
      <c r="G141" s="375">
        <f>-F141+E141</f>
        <v>0</v>
      </c>
    </row>
    <row r="142" spans="2:10" ht="16.5" customHeight="1" x14ac:dyDescent="0.2">
      <c r="B142" s="194" t="s">
        <v>400</v>
      </c>
      <c r="C142" s="297" t="s">
        <v>295</v>
      </c>
      <c r="D142" s="54" t="s">
        <v>236</v>
      </c>
      <c r="E142" s="169">
        <f>E143*E144</f>
        <v>0</v>
      </c>
      <c r="F142" s="169">
        <f>F143*F144</f>
        <v>0</v>
      </c>
      <c r="G142" s="375">
        <f>-F142+E142</f>
        <v>0</v>
      </c>
    </row>
    <row r="143" spans="2:10" ht="16.5" customHeight="1" x14ac:dyDescent="0.2">
      <c r="B143" s="195" t="s">
        <v>401</v>
      </c>
      <c r="C143" s="298" t="s">
        <v>402</v>
      </c>
      <c r="D143" s="60" t="s">
        <v>79</v>
      </c>
      <c r="E143" s="170">
        <f>IFERROR('Чек-лист'!G150,0)</f>
        <v>0</v>
      </c>
      <c r="F143" s="170">
        <f>IFERROR('Чек-лист'!H150,0)</f>
        <v>0</v>
      </c>
      <c r="G143" s="374">
        <f t="shared" ref="G143:G153" si="1">F143-E143</f>
        <v>0</v>
      </c>
    </row>
    <row r="144" spans="2:10" ht="16.5" customHeight="1" x14ac:dyDescent="0.2">
      <c r="B144" s="195" t="s">
        <v>403</v>
      </c>
      <c r="C144" s="298" t="s">
        <v>297</v>
      </c>
      <c r="D144" s="60" t="s">
        <v>404</v>
      </c>
      <c r="E144" s="170">
        <f>IFERROR('Чек-лист'!G151,0)</f>
        <v>0</v>
      </c>
      <c r="F144" s="172">
        <f>E144</f>
        <v>0</v>
      </c>
      <c r="G144" s="374">
        <f t="shared" si="1"/>
        <v>0</v>
      </c>
    </row>
    <row r="145" spans="2:10" ht="16.5" customHeight="1" x14ac:dyDescent="0.2">
      <c r="B145" s="194" t="s">
        <v>405</v>
      </c>
      <c r="C145" s="297" t="s">
        <v>298</v>
      </c>
      <c r="D145" s="54" t="s">
        <v>236</v>
      </c>
      <c r="E145" s="170">
        <f>E146*E147</f>
        <v>0</v>
      </c>
      <c r="F145" s="170">
        <f>F146*F147</f>
        <v>0</v>
      </c>
      <c r="G145" s="375">
        <f>-F145+E145</f>
        <v>0</v>
      </c>
    </row>
    <row r="146" spans="2:10" ht="16.5" customHeight="1" x14ac:dyDescent="0.2">
      <c r="B146" s="195" t="s">
        <v>406</v>
      </c>
      <c r="C146" s="298" t="s">
        <v>402</v>
      </c>
      <c r="D146" s="60" t="s">
        <v>86</v>
      </c>
      <c r="E146" s="170">
        <f>IFERROR('Чек-лист'!G153,0)</f>
        <v>0</v>
      </c>
      <c r="F146" s="170">
        <f>IFERROR('Чек-лист'!H153,0)</f>
        <v>0</v>
      </c>
      <c r="G146" s="374">
        <f t="shared" si="1"/>
        <v>0</v>
      </c>
    </row>
    <row r="147" spans="2:10" ht="16.5" customHeight="1" x14ac:dyDescent="0.2">
      <c r="B147" s="195" t="s">
        <v>407</v>
      </c>
      <c r="C147" s="298" t="s">
        <v>297</v>
      </c>
      <c r="D147" s="60" t="s">
        <v>408</v>
      </c>
      <c r="E147" s="170">
        <f>IFERROR('Чек-лист'!G154,0)</f>
        <v>0</v>
      </c>
      <c r="F147" s="170">
        <f>E147</f>
        <v>0</v>
      </c>
      <c r="G147" s="374">
        <f t="shared" si="1"/>
        <v>0</v>
      </c>
    </row>
    <row r="148" spans="2:10" ht="16.5" customHeight="1" x14ac:dyDescent="0.2">
      <c r="B148" s="194" t="s">
        <v>409</v>
      </c>
      <c r="C148" s="297" t="s">
        <v>300</v>
      </c>
      <c r="D148" s="54" t="s">
        <v>236</v>
      </c>
      <c r="E148" s="170">
        <f>E149*E150</f>
        <v>0</v>
      </c>
      <c r="F148" s="170">
        <f>F149*F150</f>
        <v>0</v>
      </c>
      <c r="G148" s="375">
        <f>-F148+E148</f>
        <v>0</v>
      </c>
    </row>
    <row r="149" spans="2:10" ht="16.5" customHeight="1" x14ac:dyDescent="0.2">
      <c r="B149" s="195" t="s">
        <v>410</v>
      </c>
      <c r="C149" s="298" t="s">
        <v>402</v>
      </c>
      <c r="D149" s="60" t="s">
        <v>86</v>
      </c>
      <c r="E149" s="170">
        <f>IFERROR('Чек-лист'!G156,0)</f>
        <v>0</v>
      </c>
      <c r="F149" s="170">
        <f>IFERROR('Чек-лист'!H156,0)</f>
        <v>0</v>
      </c>
      <c r="G149" s="374">
        <f t="shared" si="1"/>
        <v>0</v>
      </c>
    </row>
    <row r="150" spans="2:10" ht="16.5" customHeight="1" x14ac:dyDescent="0.2">
      <c r="B150" s="195" t="s">
        <v>411</v>
      </c>
      <c r="C150" s="298" t="s">
        <v>297</v>
      </c>
      <c r="D150" s="60" t="s">
        <v>408</v>
      </c>
      <c r="E150" s="170">
        <f>IFERROR('Чек-лист'!G157,0)</f>
        <v>0</v>
      </c>
      <c r="F150" s="170">
        <f>E150</f>
        <v>0</v>
      </c>
      <c r="G150" s="374">
        <f t="shared" si="1"/>
        <v>0</v>
      </c>
    </row>
    <row r="151" spans="2:10" ht="16.5" customHeight="1" x14ac:dyDescent="0.2">
      <c r="B151" s="194" t="s">
        <v>412</v>
      </c>
      <c r="C151" s="297" t="s">
        <v>413</v>
      </c>
      <c r="D151" s="54" t="s">
        <v>236</v>
      </c>
      <c r="E151" s="170">
        <f>E152*E153</f>
        <v>0</v>
      </c>
      <c r="F151" s="170">
        <f>F152*F153</f>
        <v>0</v>
      </c>
      <c r="G151" s="375">
        <f>-F151+E151</f>
        <v>0</v>
      </c>
    </row>
    <row r="152" spans="2:10" ht="16.5" customHeight="1" x14ac:dyDescent="0.2">
      <c r="B152" s="195" t="s">
        <v>414</v>
      </c>
      <c r="C152" s="298" t="s">
        <v>402</v>
      </c>
      <c r="D152" s="60" t="s">
        <v>91</v>
      </c>
      <c r="E152" s="170">
        <f>IFERROR('Чек-лист'!G159,0)</f>
        <v>0</v>
      </c>
      <c r="F152" s="170">
        <f>IFERROR('Чек-лист'!H159,0)</f>
        <v>0</v>
      </c>
      <c r="G152" s="374">
        <f t="shared" si="1"/>
        <v>0</v>
      </c>
    </row>
    <row r="153" spans="2:10" ht="16.5" customHeight="1" x14ac:dyDescent="0.2">
      <c r="B153" s="195" t="s">
        <v>415</v>
      </c>
      <c r="C153" s="298" t="s">
        <v>297</v>
      </c>
      <c r="D153" s="60" t="s">
        <v>93</v>
      </c>
      <c r="E153" s="170">
        <f>IFERROR('Чек-лист'!G160,0)</f>
        <v>0</v>
      </c>
      <c r="F153" s="170">
        <f>E153</f>
        <v>0</v>
      </c>
      <c r="G153" s="374">
        <f t="shared" si="1"/>
        <v>0</v>
      </c>
    </row>
    <row r="154" spans="2:10" ht="16.5" customHeight="1" x14ac:dyDescent="0.2">
      <c r="B154" s="197"/>
      <c r="C154" s="338"/>
      <c r="D154" s="339"/>
      <c r="E154" s="340"/>
      <c r="F154" s="340"/>
      <c r="G154" s="379"/>
    </row>
    <row r="155" spans="2:10" s="59" customFormat="1" ht="16.5" customHeight="1" x14ac:dyDescent="0.2">
      <c r="B155" s="198" t="s">
        <v>416</v>
      </c>
      <c r="C155" s="294" t="s">
        <v>417</v>
      </c>
      <c r="D155" s="58" t="s">
        <v>236</v>
      </c>
      <c r="E155" s="123">
        <f>E157</f>
        <v>0</v>
      </c>
      <c r="F155" s="123">
        <f>F158*F159+F161+F163</f>
        <v>0</v>
      </c>
      <c r="G155" s="371">
        <f>F155-E155</f>
        <v>0</v>
      </c>
      <c r="H155" s="386"/>
      <c r="I155" s="446"/>
      <c r="J155" s="446"/>
    </row>
    <row r="156" spans="2:10" s="59" customFormat="1" ht="16.5" customHeight="1" x14ac:dyDescent="0.2">
      <c r="B156" s="202"/>
      <c r="C156" s="295" t="s">
        <v>202</v>
      </c>
      <c r="D156" s="184" t="s">
        <v>236</v>
      </c>
      <c r="E156" s="185"/>
      <c r="F156" s="185"/>
      <c r="G156" s="372">
        <f>F158*F160+F164</f>
        <v>0</v>
      </c>
      <c r="H156" s="386"/>
      <c r="I156" s="445"/>
      <c r="J156" s="446"/>
    </row>
    <row r="157" spans="2:10" ht="16.5" customHeight="1" x14ac:dyDescent="0.2">
      <c r="B157" s="199" t="s">
        <v>418</v>
      </c>
      <c r="C157" s="297" t="s">
        <v>419</v>
      </c>
      <c r="D157" s="54" t="s">
        <v>236</v>
      </c>
      <c r="E157" s="169">
        <f>IFERROR(IF($F$159=0,E158*E160,E158*E159),0)</f>
        <v>0</v>
      </c>
      <c r="F157" s="169">
        <f>IFERROR(IF($F$159=0,F158*F160,F158*F159),0)</f>
        <v>0</v>
      </c>
      <c r="G157" s="375">
        <f>F157-E157</f>
        <v>0</v>
      </c>
    </row>
    <row r="158" spans="2:10" s="61" customFormat="1" ht="16.5" customHeight="1" x14ac:dyDescent="0.2">
      <c r="B158" s="200" t="s">
        <v>420</v>
      </c>
      <c r="C158" s="298" t="s">
        <v>421</v>
      </c>
      <c r="D158" s="60" t="s">
        <v>422</v>
      </c>
      <c r="E158" s="170">
        <v>0</v>
      </c>
      <c r="F158" s="170">
        <f>IFERROR('Чек-лист'!H165,0)</f>
        <v>0</v>
      </c>
      <c r="G158" s="374"/>
      <c r="I158" s="449"/>
      <c r="J158" s="449"/>
    </row>
    <row r="159" spans="2:10" s="61" customFormat="1" ht="16.5" customHeight="1" x14ac:dyDescent="0.2">
      <c r="B159" s="200" t="s">
        <v>423</v>
      </c>
      <c r="C159" s="298" t="s">
        <v>424</v>
      </c>
      <c r="D159" s="60" t="s">
        <v>236</v>
      </c>
      <c r="E159" s="170">
        <f>F159</f>
        <v>0</v>
      </c>
      <c r="F159" s="170">
        <f>IFERROR('Чек-лист'!H168,0)</f>
        <v>0</v>
      </c>
      <c r="G159" s="374"/>
      <c r="I159" s="449"/>
      <c r="J159" s="449"/>
    </row>
    <row r="160" spans="2:10" s="61" customFormat="1" ht="16.5" customHeight="1" x14ac:dyDescent="0.2">
      <c r="B160" s="200" t="s">
        <v>423</v>
      </c>
      <c r="C160" s="298" t="s">
        <v>425</v>
      </c>
      <c r="D160" s="60" t="s">
        <v>236</v>
      </c>
      <c r="E160" s="170">
        <f>F160</f>
        <v>0</v>
      </c>
      <c r="F160" s="170">
        <f>IFERROR('Чек-лист'!H167,0)</f>
        <v>0</v>
      </c>
      <c r="G160" s="374"/>
      <c r="I160" s="449"/>
      <c r="J160" s="449"/>
    </row>
    <row r="161" spans="2:10" ht="28.25" customHeight="1" x14ac:dyDescent="0.2">
      <c r="B161" s="199" t="s">
        <v>426</v>
      </c>
      <c r="C161" s="297" t="s">
        <v>427</v>
      </c>
      <c r="D161" s="54" t="s">
        <v>236</v>
      </c>
      <c r="E161" s="169"/>
      <c r="F161" s="169">
        <f>IFERROR(IF('Чек-лист'!$G$17="да",(E162-F162)*F72/(1-F162)*F79,(IF('Чек-лист'!$G$23="да",(E162-F162)*F21/(1-F162)*F25,(E162-F162)*F68))),0)</f>
        <v>0</v>
      </c>
      <c r="G161" s="375">
        <f>F161</f>
        <v>0</v>
      </c>
      <c r="I161" s="448"/>
    </row>
    <row r="162" spans="2:10" s="61" customFormat="1" ht="16.5" customHeight="1" x14ac:dyDescent="0.2">
      <c r="B162" s="195" t="s">
        <v>428</v>
      </c>
      <c r="C162" s="298" t="s">
        <v>429</v>
      </c>
      <c r="D162" s="60" t="s">
        <v>39</v>
      </c>
      <c r="E162" s="173">
        <f>IFERROR('Чек-лист'!G170,0)</f>
        <v>0</v>
      </c>
      <c r="F162" s="173">
        <f>IFERROR('Чек-лист'!H170,0)</f>
        <v>0</v>
      </c>
      <c r="G162" s="374"/>
      <c r="I162" s="451"/>
      <c r="J162" s="451"/>
    </row>
    <row r="163" spans="2:10" ht="16.5" customHeight="1" x14ac:dyDescent="0.2">
      <c r="B163" s="193" t="s">
        <v>430</v>
      </c>
      <c r="C163" s="296" t="s">
        <v>431</v>
      </c>
      <c r="D163" s="57" t="s">
        <v>236</v>
      </c>
      <c r="E163" s="171">
        <v>0</v>
      </c>
      <c r="F163" s="171">
        <f>IFERROR(IF('Чек-лист'!$G$190="нет",0,'Чек-лист'!H191),0)</f>
        <v>0</v>
      </c>
      <c r="G163" s="375">
        <f>F163-E163</f>
        <v>0</v>
      </c>
    </row>
    <row r="164" spans="2:10" ht="16.5" customHeight="1" x14ac:dyDescent="0.2">
      <c r="B164" s="193" t="s">
        <v>432</v>
      </c>
      <c r="C164" s="296" t="s">
        <v>433</v>
      </c>
      <c r="D164" s="57" t="s">
        <v>236</v>
      </c>
      <c r="E164" s="171">
        <v>0</v>
      </c>
      <c r="F164" s="171">
        <f>IFERROR(IF('Чек-лист'!$G$190="да",0,'Чек-лист'!H191),0)</f>
        <v>0</v>
      </c>
      <c r="G164" s="375">
        <f>F164-E164</f>
        <v>0</v>
      </c>
    </row>
    <row r="165" spans="2:10" ht="16.5" customHeight="1" x14ac:dyDescent="0.2">
      <c r="B165" s="197"/>
      <c r="C165" s="338"/>
      <c r="D165" s="339"/>
      <c r="E165" s="340"/>
      <c r="F165" s="340"/>
      <c r="G165" s="379"/>
    </row>
    <row r="166" spans="2:10" s="59" customFormat="1" ht="16.5" customHeight="1" x14ac:dyDescent="0.2">
      <c r="B166" s="198" t="s">
        <v>434</v>
      </c>
      <c r="C166" s="294" t="s">
        <v>435</v>
      </c>
      <c r="D166" s="58" t="s">
        <v>236</v>
      </c>
      <c r="E166" s="123"/>
      <c r="F166" s="123">
        <f>F168-E168</f>
        <v>0</v>
      </c>
      <c r="G166" s="371">
        <f>-F166</f>
        <v>0</v>
      </c>
      <c r="H166" s="386"/>
      <c r="I166" s="446"/>
      <c r="J166" s="446"/>
    </row>
    <row r="167" spans="2:10" s="59" customFormat="1" ht="16.5" customHeight="1" x14ac:dyDescent="0.2">
      <c r="B167" s="198"/>
      <c r="C167" s="295" t="s">
        <v>436</v>
      </c>
      <c r="D167" s="184" t="s">
        <v>236</v>
      </c>
      <c r="E167" s="123"/>
      <c r="F167" s="123">
        <f>-F166*'Чек-лист'!H187</f>
        <v>0</v>
      </c>
      <c r="G167" s="371">
        <f>F167</f>
        <v>0</v>
      </c>
      <c r="I167" s="446"/>
      <c r="J167" s="446"/>
    </row>
    <row r="168" spans="2:10" s="56" customFormat="1" ht="16.5" customHeight="1" x14ac:dyDescent="0.2">
      <c r="B168" s="193" t="s">
        <v>437</v>
      </c>
      <c r="C168" s="296" t="s">
        <v>438</v>
      </c>
      <c r="D168" s="57" t="s">
        <v>236</v>
      </c>
      <c r="E168" s="126">
        <f>E169+E170+E171+E174+E177</f>
        <v>0</v>
      </c>
      <c r="F168" s="126">
        <f>F169+F170+F171+F174+F177</f>
        <v>0</v>
      </c>
      <c r="G168" s="175">
        <f>-F168+E168</f>
        <v>0</v>
      </c>
      <c r="I168" s="447"/>
      <c r="J168" s="447"/>
    </row>
    <row r="169" spans="2:10" ht="16.5" customHeight="1" x14ac:dyDescent="0.2">
      <c r="B169" s="194" t="s">
        <v>439</v>
      </c>
      <c r="C169" s="297" t="s">
        <v>440</v>
      </c>
      <c r="D169" s="54" t="s">
        <v>236</v>
      </c>
      <c r="E169" s="125">
        <v>0</v>
      </c>
      <c r="F169" s="125">
        <v>0</v>
      </c>
      <c r="G169" s="373">
        <f t="shared" ref="G169:G170" si="2">F169-E169</f>
        <v>0</v>
      </c>
    </row>
    <row r="170" spans="2:10" ht="16.5" customHeight="1" x14ac:dyDescent="0.2">
      <c r="B170" s="194" t="s">
        <v>441</v>
      </c>
      <c r="C170" s="297" t="s">
        <v>442</v>
      </c>
      <c r="D170" s="54" t="s">
        <v>236</v>
      </c>
      <c r="E170" s="125">
        <v>0</v>
      </c>
      <c r="F170" s="125">
        <v>0</v>
      </c>
      <c r="G170" s="373">
        <f t="shared" si="2"/>
        <v>0</v>
      </c>
    </row>
    <row r="171" spans="2:10" ht="16.5" customHeight="1" x14ac:dyDescent="0.2">
      <c r="B171" s="194" t="s">
        <v>443</v>
      </c>
      <c r="C171" s="297" t="s">
        <v>444</v>
      </c>
      <c r="D171" s="54" t="s">
        <v>236</v>
      </c>
      <c r="E171" s="169">
        <f>IFERROR(IF('Чек-лист'!G181="",E172*E173,'Чек-лист'!G181),0)</f>
        <v>0</v>
      </c>
      <c r="F171" s="169">
        <f>IFERROR(IF('Чек-лист'!H181="",F172*F173,'Чек-лист'!H181),0)</f>
        <v>0</v>
      </c>
      <c r="G171" s="375">
        <f>-F171+E171</f>
        <v>0</v>
      </c>
    </row>
    <row r="172" spans="2:10" s="61" customFormat="1" ht="16.5" customHeight="1" x14ac:dyDescent="0.2">
      <c r="B172" s="195" t="s">
        <v>445</v>
      </c>
      <c r="C172" s="298" t="s">
        <v>446</v>
      </c>
      <c r="D172" s="60" t="s">
        <v>447</v>
      </c>
      <c r="E172" s="170">
        <f>IFERROR('Чек-лист'!G179,0)</f>
        <v>0</v>
      </c>
      <c r="F172" s="170">
        <f>IFERROR('Чек-лист'!H179,0)</f>
        <v>0</v>
      </c>
      <c r="G172" s="376">
        <f t="shared" ref="G172:G179" si="3">F172-E172</f>
        <v>0</v>
      </c>
      <c r="I172" s="449"/>
      <c r="J172" s="449"/>
    </row>
    <row r="173" spans="2:10" s="61" customFormat="1" ht="16.5" customHeight="1" x14ac:dyDescent="0.2">
      <c r="B173" s="195" t="s">
        <v>448</v>
      </c>
      <c r="C173" s="298" t="s">
        <v>449</v>
      </c>
      <c r="D173" s="60" t="s">
        <v>236</v>
      </c>
      <c r="E173" s="170">
        <f>IFERROR('Чек-лист'!G180,0)</f>
        <v>0</v>
      </c>
      <c r="F173" s="170">
        <f>E173</f>
        <v>0</v>
      </c>
      <c r="G173" s="376">
        <f t="shared" si="3"/>
        <v>0</v>
      </c>
      <c r="I173" s="449"/>
      <c r="J173" s="449"/>
    </row>
    <row r="174" spans="2:10" ht="16.5" customHeight="1" x14ac:dyDescent="0.2">
      <c r="B174" s="194" t="s">
        <v>450</v>
      </c>
      <c r="C174" s="297" t="s">
        <v>451</v>
      </c>
      <c r="D174" s="54" t="s">
        <v>236</v>
      </c>
      <c r="E174" s="169">
        <f>IFERROR(IF(E175=0,'Чек-лист'!G186,E175*E176),0)</f>
        <v>0</v>
      </c>
      <c r="F174" s="169">
        <f>IFERROR(IF(F175=0,'Чек-лист'!H186,F175*F176),0)</f>
        <v>0</v>
      </c>
      <c r="G174" s="375">
        <f>-F174+E174</f>
        <v>0</v>
      </c>
    </row>
    <row r="175" spans="2:10" s="61" customFormat="1" ht="16.5" customHeight="1" x14ac:dyDescent="0.2">
      <c r="B175" s="195" t="s">
        <v>452</v>
      </c>
      <c r="C175" s="298" t="s">
        <v>453</v>
      </c>
      <c r="D175" s="60" t="s">
        <v>447</v>
      </c>
      <c r="E175" s="170">
        <f>IFERROR('Чек-лист'!G184,0)</f>
        <v>0</v>
      </c>
      <c r="F175" s="170">
        <f>'Чек-лист'!H184</f>
        <v>0</v>
      </c>
      <c r="G175" s="376">
        <f t="shared" si="3"/>
        <v>0</v>
      </c>
      <c r="I175" s="449"/>
      <c r="J175" s="449"/>
    </row>
    <row r="176" spans="2:10" s="61" customFormat="1" ht="16.5" customHeight="1" x14ac:dyDescent="0.2">
      <c r="B176" s="195" t="s">
        <v>454</v>
      </c>
      <c r="C176" s="298" t="s">
        <v>455</v>
      </c>
      <c r="D176" s="60" t="s">
        <v>236</v>
      </c>
      <c r="E176" s="170">
        <f>IFERROR('Чек-лист'!G185,0)</f>
        <v>0</v>
      </c>
      <c r="F176" s="170">
        <f>E176</f>
        <v>0</v>
      </c>
      <c r="G176" s="376">
        <f t="shared" si="3"/>
        <v>0</v>
      </c>
      <c r="I176" s="449"/>
      <c r="J176" s="449"/>
    </row>
    <row r="177" spans="2:10" ht="16.5" customHeight="1" x14ac:dyDescent="0.2">
      <c r="B177" s="194" t="s">
        <v>456</v>
      </c>
      <c r="C177" s="297" t="s">
        <v>457</v>
      </c>
      <c r="D177" s="54" t="s">
        <v>236</v>
      </c>
      <c r="E177" s="169">
        <f>IFERROR(IF('Чек-лист'!G176="",E178*E179,'Чек-лист'!G176),0)</f>
        <v>0</v>
      </c>
      <c r="F177" s="169">
        <f>IFERROR(IF('Чек-лист'!H176="",F178*F179,'Чек-лист'!H176),0)</f>
        <v>0</v>
      </c>
      <c r="G177" s="375">
        <f>-F177+E177</f>
        <v>0</v>
      </c>
    </row>
    <row r="178" spans="2:10" s="61" customFormat="1" ht="16.5" customHeight="1" x14ac:dyDescent="0.2">
      <c r="B178" s="195" t="s">
        <v>458</v>
      </c>
      <c r="C178" s="298" t="s">
        <v>459</v>
      </c>
      <c r="D178" s="60" t="s">
        <v>447</v>
      </c>
      <c r="E178" s="170">
        <f>IFERROR('Чек-лист'!G174,0)</f>
        <v>0</v>
      </c>
      <c r="F178" s="170">
        <f>IFERROR('Чек-лист'!H174,0)</f>
        <v>0</v>
      </c>
      <c r="G178" s="376">
        <f t="shared" si="3"/>
        <v>0</v>
      </c>
      <c r="I178" s="449"/>
      <c r="J178" s="449"/>
    </row>
    <row r="179" spans="2:10" s="61" customFormat="1" ht="16.5" customHeight="1" x14ac:dyDescent="0.2">
      <c r="B179" s="201" t="s">
        <v>460</v>
      </c>
      <c r="C179" s="299" t="s">
        <v>461</v>
      </c>
      <c r="D179" s="196" t="s">
        <v>236</v>
      </c>
      <c r="E179" s="284">
        <f>IFERROR('Чек-лист'!G175,0)</f>
        <v>0</v>
      </c>
      <c r="F179" s="284">
        <f>IFERROR('Чек-лист'!H175,0)</f>
        <v>0</v>
      </c>
      <c r="G179" s="377">
        <f t="shared" si="3"/>
        <v>0</v>
      </c>
      <c r="I179" s="449"/>
      <c r="J179" s="449"/>
    </row>
    <row r="181" spans="2:10" ht="19" x14ac:dyDescent="0.2">
      <c r="C181" s="341" t="s">
        <v>462</v>
      </c>
    </row>
    <row r="182" spans="2:10" x14ac:dyDescent="0.2">
      <c r="C182" s="407" t="s">
        <v>255</v>
      </c>
      <c r="D182" s="407" t="s">
        <v>256</v>
      </c>
      <c r="E182" s="407" t="s">
        <v>260</v>
      </c>
    </row>
    <row r="183" spans="2:10" ht="16" x14ac:dyDescent="0.2">
      <c r="C183" s="297" t="s">
        <v>463</v>
      </c>
      <c r="D183" s="408" t="s">
        <v>236</v>
      </c>
      <c r="E183" s="409">
        <f>J16+J45+J72+J112</f>
        <v>4047871.9967125426</v>
      </c>
    </row>
    <row r="184" spans="2:10" ht="16" x14ac:dyDescent="0.2">
      <c r="C184" s="297" t="s">
        <v>464</v>
      </c>
      <c r="D184" s="408" t="s">
        <v>236</v>
      </c>
      <c r="E184" s="409">
        <f>J17+J46+J73+J113+G135</f>
        <v>0</v>
      </c>
    </row>
    <row r="185" spans="2:10" ht="16" x14ac:dyDescent="0.2">
      <c r="C185" s="297" t="s">
        <v>675</v>
      </c>
      <c r="D185" s="408" t="s">
        <v>236</v>
      </c>
      <c r="E185" s="409">
        <f>G167</f>
        <v>0</v>
      </c>
    </row>
    <row r="186" spans="2:10" ht="16" x14ac:dyDescent="0.2">
      <c r="C186" s="502" t="s">
        <v>676</v>
      </c>
      <c r="D186" s="408" t="s">
        <v>236</v>
      </c>
      <c r="E186" s="409">
        <f>G177*'Чек-лист'!H187</f>
        <v>0</v>
      </c>
    </row>
    <row r="187" spans="2:10" ht="16" x14ac:dyDescent="0.2">
      <c r="C187" s="502" t="s">
        <v>677</v>
      </c>
      <c r="D187" s="408" t="s">
        <v>236</v>
      </c>
      <c r="E187" s="409">
        <f>G171*'Чек-лист'!H187</f>
        <v>0</v>
      </c>
    </row>
    <row r="188" spans="2:10" ht="16" x14ac:dyDescent="0.2">
      <c r="C188" s="502" t="s">
        <v>678</v>
      </c>
      <c r="D188" s="408" t="s">
        <v>236</v>
      </c>
      <c r="E188" s="409">
        <f>G174*'Чек-лист'!H187</f>
        <v>0</v>
      </c>
    </row>
    <row r="189" spans="2:10" ht="16" x14ac:dyDescent="0.2">
      <c r="C189" s="297" t="s">
        <v>465</v>
      </c>
      <c r="D189" s="408" t="s">
        <v>236</v>
      </c>
      <c r="E189" s="409">
        <f>G161</f>
        <v>0</v>
      </c>
    </row>
    <row r="190" spans="2:10" ht="16" x14ac:dyDescent="0.2">
      <c r="C190" s="297" t="s">
        <v>466</v>
      </c>
      <c r="D190" s="408" t="s">
        <v>236</v>
      </c>
      <c r="E190" s="409">
        <f>G155-G161+J74+G167</f>
        <v>0</v>
      </c>
    </row>
    <row r="191" spans="2:10" ht="16" x14ac:dyDescent="0.2">
      <c r="C191" s="295" t="s">
        <v>467</v>
      </c>
      <c r="D191" s="184" t="s">
        <v>236</v>
      </c>
      <c r="E191" s="410">
        <f>SUM(E183:E185,E189:E190)</f>
        <v>4047871.9967125426</v>
      </c>
      <c r="F191" s="452">
        <f>E191-G9</f>
        <v>-7.9162418842315674E-9</v>
      </c>
    </row>
    <row r="192" spans="2:10" ht="19" x14ac:dyDescent="0.2">
      <c r="C192" s="411" t="str">
        <f>IF(ROUND(F191,0)=0,"","ОШИБКА: Убедитесь, что перед заполнением модели была выполнена очистка данных!")</f>
        <v/>
      </c>
    </row>
    <row r="193" spans="3:5" ht="19" x14ac:dyDescent="0.2">
      <c r="C193" s="341" t="s">
        <v>468</v>
      </c>
    </row>
    <row r="194" spans="3:5" x14ac:dyDescent="0.2">
      <c r="C194" s="407" t="s">
        <v>255</v>
      </c>
      <c r="D194" s="407" t="s">
        <v>256</v>
      </c>
      <c r="E194" s="407" t="s">
        <v>260</v>
      </c>
    </row>
    <row r="195" spans="3:5" ht="16" x14ac:dyDescent="0.2">
      <c r="C195" s="297" t="s">
        <v>286</v>
      </c>
      <c r="D195" s="408" t="s">
        <v>236</v>
      </c>
      <c r="E195" s="409">
        <f>J19+J48+J75+J114</f>
        <v>0</v>
      </c>
    </row>
    <row r="196" spans="3:5" ht="16" x14ac:dyDescent="0.2">
      <c r="C196" s="297" t="s">
        <v>469</v>
      </c>
      <c r="D196" s="408" t="s">
        <v>236</v>
      </c>
      <c r="E196" s="409">
        <f t="shared" ref="E196" si="4">J20+J49+J76+J115</f>
        <v>0</v>
      </c>
    </row>
    <row r="197" spans="3:5" ht="16" x14ac:dyDescent="0.2">
      <c r="C197" s="297" t="s">
        <v>346</v>
      </c>
      <c r="D197" s="408" t="s">
        <v>236</v>
      </c>
      <c r="E197" s="409">
        <f>J21+J50+J77+J116</f>
        <v>0</v>
      </c>
    </row>
    <row r="198" spans="3:5" ht="16" x14ac:dyDescent="0.2">
      <c r="C198" s="295" t="s">
        <v>467</v>
      </c>
      <c r="D198" s="184" t="s">
        <v>236</v>
      </c>
      <c r="E198" s="410">
        <f>SUM(E195:E197)</f>
        <v>0</v>
      </c>
    </row>
    <row r="200" spans="3:5" ht="19" x14ac:dyDescent="0.2">
      <c r="C200" s="341" t="s">
        <v>470</v>
      </c>
    </row>
    <row r="201" spans="3:5" x14ac:dyDescent="0.2">
      <c r="C201" s="407" t="s">
        <v>255</v>
      </c>
      <c r="D201" s="407" t="s">
        <v>256</v>
      </c>
      <c r="E201" s="407" t="s">
        <v>260</v>
      </c>
    </row>
    <row r="202" spans="3:5" ht="16" x14ac:dyDescent="0.2">
      <c r="C202" s="297" t="s">
        <v>388</v>
      </c>
      <c r="D202" s="408" t="s">
        <v>236</v>
      </c>
      <c r="E202" s="409">
        <f>G136</f>
        <v>0</v>
      </c>
    </row>
    <row r="203" spans="3:5" ht="16" x14ac:dyDescent="0.2">
      <c r="C203" s="297" t="s">
        <v>471</v>
      </c>
      <c r="D203" s="408" t="s">
        <v>236</v>
      </c>
      <c r="E203" s="409">
        <f>G137</f>
        <v>0</v>
      </c>
    </row>
    <row r="204" spans="3:5" ht="16" x14ac:dyDescent="0.2">
      <c r="C204" s="297" t="s">
        <v>399</v>
      </c>
      <c r="D204" s="408" t="s">
        <v>236</v>
      </c>
      <c r="E204" s="409">
        <f>G141</f>
        <v>0</v>
      </c>
    </row>
    <row r="205" spans="3:5" ht="16" x14ac:dyDescent="0.2">
      <c r="C205" s="295" t="s">
        <v>467</v>
      </c>
      <c r="D205" s="184" t="s">
        <v>236</v>
      </c>
      <c r="E205" s="410">
        <f>SUM(E202:E204)</f>
        <v>0</v>
      </c>
    </row>
    <row r="207" spans="3:5" ht="19" x14ac:dyDescent="0.2">
      <c r="C207" s="341" t="s">
        <v>472</v>
      </c>
    </row>
    <row r="208" spans="3:5" x14ac:dyDescent="0.2">
      <c r="C208" s="407" t="s">
        <v>255</v>
      </c>
      <c r="D208" s="407" t="s">
        <v>256</v>
      </c>
      <c r="E208" s="407" t="s">
        <v>260</v>
      </c>
    </row>
    <row r="209" spans="3:5" ht="16" x14ac:dyDescent="0.2">
      <c r="C209" s="297" t="s">
        <v>473</v>
      </c>
      <c r="D209" s="408" t="s">
        <v>236</v>
      </c>
      <c r="E209" s="409">
        <f>F158*F159</f>
        <v>0</v>
      </c>
    </row>
    <row r="210" spans="3:5" ht="16" x14ac:dyDescent="0.2">
      <c r="C210" s="297" t="s">
        <v>474</v>
      </c>
      <c r="D210" s="408" t="s">
        <v>236</v>
      </c>
      <c r="E210" s="409">
        <f>J74</f>
        <v>0</v>
      </c>
    </row>
    <row r="211" spans="3:5" ht="16" x14ac:dyDescent="0.2">
      <c r="C211" s="297" t="s">
        <v>475</v>
      </c>
      <c r="D211" s="408" t="s">
        <v>236</v>
      </c>
      <c r="E211" s="409">
        <f>G163</f>
        <v>0</v>
      </c>
    </row>
    <row r="212" spans="3:5" ht="16" x14ac:dyDescent="0.2">
      <c r="C212" s="295" t="s">
        <v>467</v>
      </c>
      <c r="D212" s="184" t="s">
        <v>236</v>
      </c>
      <c r="E212" s="410">
        <f>SUM(E209:E211)</f>
        <v>0</v>
      </c>
    </row>
  </sheetData>
  <sheetProtection algorithmName="SHA-512" hashValue="jX8PI1HsUF+fw6gOthfM9J/VGO5mF2QsT1lfh8HWCBgOHKAu3nc0/J/gwrgO2DRxKTw51H562dwhMGeuYdPb7A==" saltValue="igh97+e5CYv3kEpDQJg3KQ==" spinCount="100000" sheet="1" objects="1" scenarios="1"/>
  <autoFilter ref="B9:G133" xr:uid="{06CE771A-BD4D-4B1E-B8B6-856853ACC1A3}">
    <filterColumn colId="0">
      <colorFilter dxfId="172"/>
    </filterColumn>
  </autoFilter>
  <mergeCells count="4">
    <mergeCell ref="B7:B8"/>
    <mergeCell ref="C7:C8"/>
    <mergeCell ref="D7:D8"/>
    <mergeCell ref="E7:G7"/>
  </mergeCells>
  <phoneticPr fontId="23" type="noConversion"/>
  <conditionalFormatting sqref="F27">
    <cfRule type="expression" dxfId="171" priority="47">
      <formula>F27&gt;E27</formula>
    </cfRule>
    <cfRule type="expression" dxfId="170" priority="48">
      <formula>F27&lt;E27</formula>
    </cfRule>
  </conditionalFormatting>
  <conditionalFormatting sqref="F28">
    <cfRule type="expression" dxfId="169" priority="45">
      <formula>F28&gt;E28</formula>
    </cfRule>
    <cfRule type="expression" dxfId="168" priority="46">
      <formula>F28&lt;E28</formula>
    </cfRule>
  </conditionalFormatting>
  <conditionalFormatting sqref="F30:F31">
    <cfRule type="expression" dxfId="167" priority="43">
      <formula>F30&gt;E30</formula>
    </cfRule>
    <cfRule type="expression" dxfId="166" priority="44">
      <formula>F30&lt;E30</formula>
    </cfRule>
  </conditionalFormatting>
  <conditionalFormatting sqref="F34:F35">
    <cfRule type="expression" dxfId="165" priority="41">
      <formula>F34&gt;E34</formula>
    </cfRule>
    <cfRule type="expression" dxfId="164" priority="42">
      <formula>F34&lt;E34</formula>
    </cfRule>
  </conditionalFormatting>
  <conditionalFormatting sqref="F37:F38">
    <cfRule type="expression" dxfId="163" priority="39">
      <formula>F37&gt;E37</formula>
    </cfRule>
    <cfRule type="expression" dxfId="162" priority="40">
      <formula>F37&lt;E37</formula>
    </cfRule>
  </conditionalFormatting>
  <conditionalFormatting sqref="F40:F41">
    <cfRule type="expression" dxfId="161" priority="37">
      <formula>F40&gt;E40</formula>
    </cfRule>
    <cfRule type="expression" dxfId="160" priority="38">
      <formula>F40&lt;E40</formula>
    </cfRule>
  </conditionalFormatting>
  <conditionalFormatting sqref="F43:F44">
    <cfRule type="expression" dxfId="159" priority="35">
      <formula>F43&gt;E43</formula>
    </cfRule>
    <cfRule type="expression" dxfId="158" priority="36">
      <formula>F43&lt;E43</formula>
    </cfRule>
  </conditionalFormatting>
  <conditionalFormatting sqref="F60">
    <cfRule type="expression" dxfId="157" priority="33">
      <formula>F60&gt;E60</formula>
    </cfRule>
    <cfRule type="expression" dxfId="156" priority="34">
      <formula>F60&lt;E60</formula>
    </cfRule>
  </conditionalFormatting>
  <conditionalFormatting sqref="F61">
    <cfRule type="expression" dxfId="155" priority="31">
      <formula>F61&gt;E61</formula>
    </cfRule>
    <cfRule type="expression" dxfId="154" priority="32">
      <formula>F61&lt;E61</formula>
    </cfRule>
  </conditionalFormatting>
  <conditionalFormatting sqref="F57">
    <cfRule type="expression" dxfId="153" priority="29">
      <formula>F57&gt;E57</formula>
    </cfRule>
    <cfRule type="expression" dxfId="152" priority="30">
      <formula>F57&lt;E57</formula>
    </cfRule>
  </conditionalFormatting>
  <conditionalFormatting sqref="F67">
    <cfRule type="expression" dxfId="151" priority="27">
      <formula>F67&gt;E67</formula>
    </cfRule>
    <cfRule type="expression" dxfId="150" priority="28">
      <formula>F67&lt;E67</formula>
    </cfRule>
  </conditionalFormatting>
  <conditionalFormatting sqref="F55">
    <cfRule type="expression" dxfId="149" priority="25">
      <formula>F55&gt;E55</formula>
    </cfRule>
    <cfRule type="expression" dxfId="148" priority="26">
      <formula>F55&lt;E55</formula>
    </cfRule>
  </conditionalFormatting>
  <conditionalFormatting sqref="F59">
    <cfRule type="expression" dxfId="147" priority="23">
      <formula>F59&gt;E59</formula>
    </cfRule>
    <cfRule type="expression" dxfId="146" priority="24">
      <formula>F59&lt;E59</formula>
    </cfRule>
  </conditionalFormatting>
  <conditionalFormatting sqref="F65">
    <cfRule type="expression" dxfId="145" priority="21">
      <formula>F65&gt;E65</formula>
    </cfRule>
    <cfRule type="expression" dxfId="144" priority="22">
      <formula>F65&lt;E65</formula>
    </cfRule>
  </conditionalFormatting>
  <conditionalFormatting sqref="F81">
    <cfRule type="expression" dxfId="143" priority="19">
      <formula>F81&gt;E81</formula>
    </cfRule>
    <cfRule type="expression" dxfId="142" priority="20">
      <formula>F81&lt;E81</formula>
    </cfRule>
  </conditionalFormatting>
  <conditionalFormatting sqref="F82">
    <cfRule type="expression" dxfId="141" priority="17">
      <formula>F82&gt;E82</formula>
    </cfRule>
    <cfRule type="expression" dxfId="140" priority="18">
      <formula>F82&lt;E82</formula>
    </cfRule>
  </conditionalFormatting>
  <conditionalFormatting sqref="F84:F85">
    <cfRule type="expression" dxfId="139" priority="15">
      <formula>F84&gt;E84</formula>
    </cfRule>
    <cfRule type="expression" dxfId="138" priority="16">
      <formula>F84&lt;E84</formula>
    </cfRule>
  </conditionalFormatting>
  <conditionalFormatting sqref="F89:F90">
    <cfRule type="expression" dxfId="137" priority="13">
      <formula>F89&gt;E89</formula>
    </cfRule>
    <cfRule type="expression" dxfId="136" priority="14">
      <formula>F89&lt;E89</formula>
    </cfRule>
  </conditionalFormatting>
  <conditionalFormatting sqref="F92:F93">
    <cfRule type="expression" dxfId="135" priority="11">
      <formula>F92&gt;E92</formula>
    </cfRule>
    <cfRule type="expression" dxfId="134" priority="12">
      <formula>F92&lt;E92</formula>
    </cfRule>
  </conditionalFormatting>
  <conditionalFormatting sqref="F95:F96">
    <cfRule type="expression" dxfId="133" priority="9">
      <formula>F95&gt;E95</formula>
    </cfRule>
    <cfRule type="expression" dxfId="132" priority="10">
      <formula>F95&lt;E95</formula>
    </cfRule>
  </conditionalFormatting>
  <conditionalFormatting sqref="F98:F99">
    <cfRule type="expression" dxfId="131" priority="7">
      <formula>F98&gt;E98</formula>
    </cfRule>
    <cfRule type="expression" dxfId="130" priority="8">
      <formula>F98&lt;E98</formula>
    </cfRule>
  </conditionalFormatting>
  <conditionalFormatting sqref="F121">
    <cfRule type="expression" dxfId="129" priority="5">
      <formula>F121&gt;E121</formula>
    </cfRule>
    <cfRule type="expression" dxfId="128" priority="6">
      <formula>F121&lt;E121</formula>
    </cfRule>
  </conditionalFormatting>
  <conditionalFormatting sqref="F125">
    <cfRule type="expression" dxfId="127" priority="3">
      <formula>F125&gt;E125</formula>
    </cfRule>
    <cfRule type="expression" dxfId="126" priority="4">
      <formula>F125&lt;E125</formula>
    </cfRule>
  </conditionalFormatting>
  <conditionalFormatting sqref="F131">
    <cfRule type="expression" dxfId="125" priority="1">
      <formula>F131&gt;E131</formula>
    </cfRule>
    <cfRule type="expression" dxfId="124" priority="2">
      <formula>F131&lt;E131</formula>
    </cfRule>
  </conditionalFormatting>
  <pageMargins left="0.7" right="0.7" top="0.75" bottom="0.75" header="0.3" footer="0.3"/>
  <pageSetup paperSize="8" scale="57" fitToHeight="0" orientation="portrait" verticalDpi="300" r:id="rId1"/>
  <rowBreaks count="1" manualBreakCount="1">
    <brk id="165" min="1" max="8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7" id="{B58CE39A-1646-44DF-9BD4-37D74D98E4E8}">
            <xm:f>'Чек-лист'!$G$17="да"</xm:f>
            <x14:dxf>
              <fill>
                <patternFill>
                  <bgColor theme="1" tint="0.499984740745262"/>
                </patternFill>
              </fill>
            </x14:dxf>
          </x14:cfRule>
          <xm:sqref>B16:G67 E68:G68</xm:sqref>
        </x14:conditionalFormatting>
        <x14:conditionalFormatting xmlns:xm="http://schemas.microsoft.com/office/excel/2006/main">
          <x14:cfRule type="expression" priority="76" id="{38AE4556-B529-45B4-B249-053F262B0EEA}">
            <xm:f>'Чек-лист'!$G$23="нет"</xm:f>
            <x14:dxf>
              <fill>
                <patternFill>
                  <bgColor theme="1" tint="0.499984740745262"/>
                </patternFill>
              </fill>
            </x14:dxf>
          </x14:cfRule>
          <xm:sqref>B16:G44</xm:sqref>
        </x14:conditionalFormatting>
        <x14:conditionalFormatting xmlns:xm="http://schemas.microsoft.com/office/excel/2006/main">
          <x14:cfRule type="expression" priority="75" id="{B2C8825D-34A3-450F-9F34-96FB034760D5}">
            <xm:f>'Чек-лист'!$G$23="да"</xm:f>
            <x14:dxf>
              <fill>
                <patternFill>
                  <bgColor theme="1" tint="0.499984740745262"/>
                </patternFill>
              </fill>
            </x14:dxf>
          </x14:cfRule>
          <xm:sqref>B45:G67 E68:G68</xm:sqref>
        </x14:conditionalFormatting>
        <x14:conditionalFormatting xmlns:xm="http://schemas.microsoft.com/office/excel/2006/main">
          <x14:cfRule type="expression" priority="74" id="{FC1C09B6-EB4C-4B0A-BA79-DE48F06E3461}">
            <xm:f>'Чек-лист'!$G$17="нет"</xm:f>
            <x14:dxf>
              <fill>
                <patternFill>
                  <bgColor theme="1" tint="0.499984740745262"/>
                </patternFill>
              </fill>
            </x14:dxf>
          </x14:cfRule>
          <xm:sqref>B69:G74 B77:G133 E75:G76</xm:sqref>
        </x14:conditionalFormatting>
        <x14:conditionalFormatting xmlns:xm="http://schemas.microsoft.com/office/excel/2006/main">
          <x14:cfRule type="expression" priority="73" id="{C510EE88-411F-44A2-ACB6-A43351E06631}">
            <xm:f>'Чек-лист'!$G$67="нет"</xm:f>
            <x14:dxf>
              <fill>
                <patternFill>
                  <bgColor theme="1" tint="0.499984740745262"/>
                </patternFill>
              </fill>
            </x14:dxf>
          </x14:cfRule>
          <xm:sqref>B69:G74 B77:G107 E75:G76</xm:sqref>
        </x14:conditionalFormatting>
        <x14:conditionalFormatting xmlns:xm="http://schemas.microsoft.com/office/excel/2006/main">
          <x14:cfRule type="expression" priority="72" id="{DEEEE7E0-86BF-4204-992E-7F92CAE027F6}">
            <xm:f>'Чек-лист'!$G$67="да"</xm:f>
            <x14:dxf>
              <fill>
                <patternFill>
                  <bgColor theme="1" tint="0.499984740745262"/>
                </patternFill>
              </fill>
            </x14:dxf>
          </x14:cfRule>
          <xm:sqref>B108:G133</xm:sqref>
        </x14:conditionalFormatting>
        <x14:conditionalFormatting xmlns:xm="http://schemas.microsoft.com/office/excel/2006/main">
          <x14:cfRule type="expression" priority="71" id="{D3A9DF50-A692-4117-A3E6-5FED4A549FBF}">
            <xm:f>'Чек-лист'!$G$71="да"</xm:f>
            <x14:dxf>
              <fill>
                <patternFill>
                  <bgColor theme="1" tint="0.499984740745262"/>
                </patternFill>
              </fill>
            </x14:dxf>
          </x14:cfRule>
          <xm:sqref>B100:G107</xm:sqref>
        </x14:conditionalFormatting>
        <x14:conditionalFormatting xmlns:xm="http://schemas.microsoft.com/office/excel/2006/main">
          <x14:cfRule type="expression" priority="70" id="{CCA080C8-A536-404C-928C-1581B067E1B4}">
            <xm:f>'Чек-лист'!$G$17=""</xm:f>
            <x14:dxf>
              <fill>
                <patternFill>
                  <bgColor theme="1" tint="0.499984740745262"/>
                </patternFill>
              </fill>
            </x14:dxf>
          </x14:cfRule>
          <xm:sqref>B69:G74 B77:G133 B16:G67 E68:G68 E75:G76</xm:sqref>
        </x14:conditionalFormatting>
        <x14:conditionalFormatting xmlns:xm="http://schemas.microsoft.com/office/excel/2006/main">
          <x14:cfRule type="expression" priority="69" id="{D3B2484C-137B-4A06-9733-2F06B0D6FEA2}">
            <xm:f>'Чек-лист'!$G$17="да"</xm:f>
            <x14:dxf>
              <fill>
                <patternFill>
                  <bgColor theme="1" tint="0.499984740745262"/>
                </patternFill>
              </fill>
            </x14:dxf>
          </x14:cfRule>
          <xm:sqref>B68:C68</xm:sqref>
        </x14:conditionalFormatting>
        <x14:conditionalFormatting xmlns:xm="http://schemas.microsoft.com/office/excel/2006/main">
          <x14:cfRule type="expression" priority="68" id="{057B81F0-0D04-4265-835F-9206B8F49980}">
            <xm:f>'Чек-лист'!$G$23="да"</xm:f>
            <x14:dxf>
              <fill>
                <patternFill>
                  <bgColor theme="1" tint="0.499984740745262"/>
                </patternFill>
              </fill>
            </x14:dxf>
          </x14:cfRule>
          <xm:sqref>B68:C68</xm:sqref>
        </x14:conditionalFormatting>
        <x14:conditionalFormatting xmlns:xm="http://schemas.microsoft.com/office/excel/2006/main">
          <x14:cfRule type="expression" priority="67" id="{F767F97C-6C3C-4393-9553-D75088328E02}">
            <xm:f>'Чек-лист'!$G$17=""</xm:f>
            <x14:dxf>
              <fill>
                <patternFill>
                  <bgColor theme="1" tint="0.499984740745262"/>
                </patternFill>
              </fill>
            </x14:dxf>
          </x14:cfRule>
          <xm:sqref>B68:C68</xm:sqref>
        </x14:conditionalFormatting>
        <x14:conditionalFormatting xmlns:xm="http://schemas.microsoft.com/office/excel/2006/main">
          <x14:cfRule type="expression" priority="66" id="{C92CD730-AF98-4A25-8F44-22CD4BB3FEE7}">
            <xm:f>'Чек-лист'!$G$17="да"</xm:f>
            <x14:dxf>
              <fill>
                <patternFill>
                  <bgColor theme="1" tint="0.499984740745262"/>
                </patternFill>
              </fill>
            </x14:dxf>
          </x14:cfRule>
          <xm:sqref>D68</xm:sqref>
        </x14:conditionalFormatting>
        <x14:conditionalFormatting xmlns:xm="http://schemas.microsoft.com/office/excel/2006/main">
          <x14:cfRule type="expression" priority="65" id="{062D4D8C-C08D-4042-925B-FA5DBDABEBB6}">
            <xm:f>'Чек-лист'!$G$23="да"</xm:f>
            <x14:dxf>
              <fill>
                <patternFill>
                  <bgColor theme="1" tint="0.499984740745262"/>
                </patternFill>
              </fill>
            </x14:dxf>
          </x14:cfRule>
          <xm:sqref>D68</xm:sqref>
        </x14:conditionalFormatting>
        <x14:conditionalFormatting xmlns:xm="http://schemas.microsoft.com/office/excel/2006/main">
          <x14:cfRule type="expression" priority="64" id="{2A5B1882-ED22-4A37-A1C9-19CC88CBAC6F}">
            <xm:f>'Чек-лист'!$G$17=""</xm:f>
            <x14:dxf>
              <fill>
                <patternFill>
                  <bgColor theme="1" tint="0.499984740745262"/>
                </patternFill>
              </fill>
            </x14:dxf>
          </x14:cfRule>
          <xm:sqref>D68</xm:sqref>
        </x14:conditionalFormatting>
        <x14:conditionalFormatting xmlns:xm="http://schemas.microsoft.com/office/excel/2006/main">
          <x14:cfRule type="expression" priority="63" id="{AC68D28C-0FA4-4E15-A324-AF3D60E59837}">
            <xm:f>'Чек-лист'!$G$17="нет"</xm:f>
            <x14:dxf>
              <fill>
                <patternFill>
                  <bgColor theme="1" tint="0.499984740745262"/>
                </patternFill>
              </fill>
            </x14:dxf>
          </x14:cfRule>
          <xm:sqref>B75:B76</xm:sqref>
        </x14:conditionalFormatting>
        <x14:conditionalFormatting xmlns:xm="http://schemas.microsoft.com/office/excel/2006/main">
          <x14:cfRule type="expression" priority="62" id="{86FF013B-E2EA-4E9D-9397-C5CBC044366E}">
            <xm:f>'Чек-лист'!$G$67="нет"</xm:f>
            <x14:dxf>
              <fill>
                <patternFill>
                  <bgColor theme="1" tint="0.499984740745262"/>
                </patternFill>
              </fill>
            </x14:dxf>
          </x14:cfRule>
          <xm:sqref>B75:B76</xm:sqref>
        </x14:conditionalFormatting>
        <x14:conditionalFormatting xmlns:xm="http://schemas.microsoft.com/office/excel/2006/main">
          <x14:cfRule type="expression" priority="61" id="{A7C63CF7-72E0-4DF6-8B8A-E4B5A213792D}">
            <xm:f>'Чек-лист'!$G$17=""</xm:f>
            <x14:dxf>
              <fill>
                <patternFill>
                  <bgColor theme="1" tint="0.499984740745262"/>
                </patternFill>
              </fill>
            </x14:dxf>
          </x14:cfRule>
          <xm:sqref>B75:B76</xm:sqref>
        </x14:conditionalFormatting>
        <x14:conditionalFormatting xmlns:xm="http://schemas.microsoft.com/office/excel/2006/main">
          <x14:cfRule type="expression" priority="60" id="{E6867938-0C59-4B83-89A7-9192154C0306}">
            <xm:f>'Чек-лист'!$G$17="нет"</xm:f>
            <x14:dxf>
              <fill>
                <patternFill>
                  <bgColor theme="1" tint="0.499984740745262"/>
                </patternFill>
              </fill>
            </x14:dxf>
          </x14:cfRule>
          <xm:sqref>C75:C76</xm:sqref>
        </x14:conditionalFormatting>
        <x14:conditionalFormatting xmlns:xm="http://schemas.microsoft.com/office/excel/2006/main">
          <x14:cfRule type="expression" priority="59" id="{54FA1991-6D76-4453-9CEF-7219CA946056}">
            <xm:f>'Чек-лист'!$G$67="нет"</xm:f>
            <x14:dxf>
              <fill>
                <patternFill>
                  <bgColor theme="1" tint="0.499984740745262"/>
                </patternFill>
              </fill>
            </x14:dxf>
          </x14:cfRule>
          <xm:sqref>C75:C76</xm:sqref>
        </x14:conditionalFormatting>
        <x14:conditionalFormatting xmlns:xm="http://schemas.microsoft.com/office/excel/2006/main">
          <x14:cfRule type="expression" priority="58" id="{E9F8E0DF-8780-4917-8897-4F71B377DEB7}">
            <xm:f>'Чек-лист'!$G$17=""</xm:f>
            <x14:dxf>
              <fill>
                <patternFill>
                  <bgColor theme="1" tint="0.499984740745262"/>
                </patternFill>
              </fill>
            </x14:dxf>
          </x14:cfRule>
          <xm:sqref>C75:C76</xm:sqref>
        </x14:conditionalFormatting>
        <x14:conditionalFormatting xmlns:xm="http://schemas.microsoft.com/office/excel/2006/main">
          <x14:cfRule type="expression" priority="54" id="{7704ED40-1D79-4368-B9FA-8311DA79BA72}">
            <xm:f>'Чек-лист'!$G$17="нет"</xm:f>
            <x14:dxf>
              <fill>
                <patternFill>
                  <bgColor theme="1" tint="0.499984740745262"/>
                </patternFill>
              </fill>
            </x14:dxf>
          </x14:cfRule>
          <xm:sqref>D75:D76</xm:sqref>
        </x14:conditionalFormatting>
        <x14:conditionalFormatting xmlns:xm="http://schemas.microsoft.com/office/excel/2006/main">
          <x14:cfRule type="expression" priority="53" id="{C8ED9C7B-9808-4DB5-B956-CB8F621ED692}">
            <xm:f>'Чек-лист'!$G$67="нет"</xm:f>
            <x14:dxf>
              <fill>
                <patternFill>
                  <bgColor theme="1" tint="0.499984740745262"/>
                </patternFill>
              </fill>
            </x14:dxf>
          </x14:cfRule>
          <xm:sqref>D75:D76</xm:sqref>
        </x14:conditionalFormatting>
        <x14:conditionalFormatting xmlns:xm="http://schemas.microsoft.com/office/excel/2006/main">
          <x14:cfRule type="expression" priority="52" id="{B48B17F9-5218-4134-A46E-44FD70B51AF3}">
            <xm:f>'Чек-лист'!$G$17=""</xm:f>
            <x14:dxf>
              <fill>
                <patternFill>
                  <bgColor theme="1" tint="0.499984740745262"/>
                </patternFill>
              </fill>
            </x14:dxf>
          </x14:cfRule>
          <xm:sqref>D75:D76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tabColor rgb="FF00B050"/>
  </sheetPr>
  <dimension ref="A1:AX215"/>
  <sheetViews>
    <sheetView showGridLines="0" zoomScale="70" zoomScaleNormal="70" workbookViewId="0">
      <selection activeCell="R41" sqref="R41"/>
    </sheetView>
  </sheetViews>
  <sheetFormatPr baseColWidth="10" defaultColWidth="8.83203125" defaultRowHeight="15" x14ac:dyDescent="0.2"/>
  <cols>
    <col min="1" max="1" width="1.6640625" customWidth="1"/>
    <col min="2" max="2" width="13.5" style="2" customWidth="1"/>
    <col min="3" max="3" width="11.6640625" style="2" customWidth="1"/>
    <col min="4" max="5" width="2" customWidth="1"/>
    <col min="6" max="6" width="4.5" customWidth="1"/>
    <col min="7" max="7" width="12.33203125" customWidth="1"/>
    <col min="8" max="8" width="12.33203125" style="1" customWidth="1"/>
    <col min="9" max="10" width="2.33203125" customWidth="1"/>
    <col min="11" max="11" width="1.6640625" customWidth="1"/>
    <col min="12" max="12" width="13.33203125" customWidth="1"/>
    <col min="13" max="13" width="13.33203125" style="1" customWidth="1"/>
    <col min="14" max="14" width="1" customWidth="1"/>
    <col min="15" max="15" width="4.83203125" customWidth="1"/>
    <col min="16" max="16" width="2.6640625" customWidth="1"/>
    <col min="17" max="17" width="13.33203125" customWidth="1"/>
    <col min="18" max="18" width="13.33203125" style="1" customWidth="1"/>
    <col min="19" max="21" width="2.33203125" customWidth="1"/>
    <col min="22" max="22" width="13.33203125" customWidth="1"/>
    <col min="23" max="23" width="13.33203125" style="1" customWidth="1"/>
    <col min="24" max="26" width="2.33203125" customWidth="1"/>
    <col min="27" max="27" width="13.33203125" customWidth="1"/>
    <col min="28" max="28" width="13.33203125" style="1" customWidth="1"/>
    <col min="29" max="31" width="2" customWidth="1"/>
    <col min="32" max="33" width="13.33203125" customWidth="1"/>
    <col min="34" max="36" width="2.33203125" customWidth="1"/>
    <col min="37" max="38" width="13.33203125" customWidth="1"/>
    <col min="39" max="39" width="2.6640625" customWidth="1"/>
  </cols>
  <sheetData>
    <row r="1" spans="2:39" ht="19" x14ac:dyDescent="0.25">
      <c r="AB1" s="471" t="str">
        <f>'Чек-лист'!K1</f>
        <v>Версия 5.2</v>
      </c>
      <c r="AF1" s="632" t="s">
        <v>476</v>
      </c>
      <c r="AG1" s="632"/>
      <c r="AH1" s="632"/>
      <c r="AK1" s="471"/>
    </row>
    <row r="2" spans="2:39" ht="17" customHeight="1" thickBot="1" x14ac:dyDescent="0.25">
      <c r="B2" s="163" t="s">
        <v>477</v>
      </c>
      <c r="AB2"/>
      <c r="AC2" s="1"/>
    </row>
    <row r="3" spans="2:39" ht="28.25" customHeight="1" x14ac:dyDescent="0.2">
      <c r="B3" s="164" t="s">
        <v>258</v>
      </c>
      <c r="C3" s="633" t="s">
        <v>478</v>
      </c>
      <c r="D3" s="633"/>
      <c r="E3" s="633"/>
      <c r="F3" s="633"/>
      <c r="G3" s="633"/>
      <c r="H3" s="633"/>
      <c r="I3" s="633"/>
      <c r="J3" s="633"/>
      <c r="K3" s="633"/>
      <c r="L3" s="633"/>
      <c r="V3" s="586" t="s">
        <v>327</v>
      </c>
      <c r="W3" s="587"/>
      <c r="AB3" s="637" t="s">
        <v>479</v>
      </c>
      <c r="AC3" s="638"/>
      <c r="AD3" s="637" t="s">
        <v>480</v>
      </c>
      <c r="AE3" s="639"/>
      <c r="AF3" s="639"/>
      <c r="AG3" s="639"/>
      <c r="AH3" s="638"/>
      <c r="AM3" s="2"/>
    </row>
    <row r="4" spans="2:39" ht="28.25" customHeight="1" x14ac:dyDescent="0.2">
      <c r="B4" s="164"/>
      <c r="C4" s="633" t="s">
        <v>481</v>
      </c>
      <c r="D4" s="633"/>
      <c r="E4" s="633"/>
      <c r="F4" s="633"/>
      <c r="G4" s="633"/>
      <c r="H4" s="633"/>
      <c r="I4" s="633"/>
      <c r="J4" s="633"/>
      <c r="K4" s="633"/>
      <c r="L4" s="633"/>
      <c r="V4" s="582" t="s">
        <v>328</v>
      </c>
      <c r="W4" s="583"/>
      <c r="AB4" s="637" t="s">
        <v>482</v>
      </c>
      <c r="AC4" s="638"/>
      <c r="AD4" s="637" t="s">
        <v>483</v>
      </c>
      <c r="AE4" s="639"/>
      <c r="AF4" s="639"/>
      <c r="AG4" s="639"/>
      <c r="AH4" s="638"/>
      <c r="AM4" s="213"/>
    </row>
    <row r="5" spans="2:39" ht="23" customHeight="1" thickBot="1" x14ac:dyDescent="0.25">
      <c r="B5" s="164" t="s">
        <v>259</v>
      </c>
      <c r="C5" s="633" t="s">
        <v>484</v>
      </c>
      <c r="D5" s="633"/>
      <c r="E5" s="633"/>
      <c r="F5" s="633"/>
      <c r="G5" s="633"/>
      <c r="H5" s="633"/>
      <c r="I5" s="633"/>
      <c r="J5" s="633"/>
      <c r="K5" s="633"/>
      <c r="L5" s="633"/>
      <c r="V5" s="584" t="s">
        <v>52</v>
      </c>
      <c r="W5" s="585"/>
      <c r="X5" s="591"/>
      <c r="Y5" s="537"/>
      <c r="Z5" s="537"/>
      <c r="AB5" s="637" t="s">
        <v>485</v>
      </c>
      <c r="AC5" s="638"/>
      <c r="AD5" s="637" t="s">
        <v>486</v>
      </c>
      <c r="AE5" s="639"/>
      <c r="AF5" s="639"/>
      <c r="AG5" s="639"/>
      <c r="AH5" s="638"/>
      <c r="AM5" s="2"/>
    </row>
    <row r="6" spans="2:39" ht="28.25" customHeight="1" thickBot="1" x14ac:dyDescent="0.25">
      <c r="C6" s="633"/>
      <c r="D6" s="633"/>
      <c r="E6" s="633"/>
      <c r="F6" s="633"/>
      <c r="G6" s="633"/>
      <c r="H6" s="633"/>
      <c r="I6" s="633"/>
      <c r="J6" s="633"/>
      <c r="K6" s="633"/>
      <c r="L6" s="633"/>
      <c r="U6" s="34"/>
      <c r="V6" s="83" t="s">
        <v>482</v>
      </c>
      <c r="W6" s="84" t="s">
        <v>487</v>
      </c>
      <c r="AB6" s="640" t="s">
        <v>488</v>
      </c>
      <c r="AC6" s="640"/>
      <c r="AD6" s="640" t="s">
        <v>489</v>
      </c>
      <c r="AE6" s="640"/>
      <c r="AF6" s="640"/>
      <c r="AG6" s="640"/>
      <c r="AH6" s="640"/>
      <c r="AM6" s="2"/>
    </row>
    <row r="7" spans="2:39" ht="14" customHeight="1" thickTop="1" x14ac:dyDescent="0.2">
      <c r="C7" s="633" t="s">
        <v>490</v>
      </c>
      <c r="D7" s="633"/>
      <c r="E7" s="633"/>
      <c r="F7" s="633"/>
      <c r="G7" s="633"/>
      <c r="H7" s="633"/>
      <c r="I7" s="633"/>
      <c r="J7" s="633"/>
      <c r="K7" s="633"/>
      <c r="L7" s="633"/>
      <c r="Q7" s="595" t="s">
        <v>325</v>
      </c>
      <c r="R7" s="596"/>
      <c r="U7" s="35"/>
      <c r="V7" s="83" t="s">
        <v>258</v>
      </c>
      <c r="W7" s="84" t="s">
        <v>259</v>
      </c>
      <c r="X7" s="4"/>
      <c r="Y7" s="4"/>
      <c r="Z7" s="4"/>
      <c r="AB7" s="640"/>
      <c r="AC7" s="640"/>
      <c r="AD7" s="640"/>
      <c r="AE7" s="640"/>
      <c r="AF7" s="640"/>
      <c r="AG7" s="640"/>
      <c r="AH7" s="640"/>
      <c r="AM7" s="2"/>
    </row>
    <row r="8" spans="2:39" ht="22.25" customHeight="1" thickBot="1" x14ac:dyDescent="0.25">
      <c r="C8" s="633"/>
      <c r="D8" s="633"/>
      <c r="E8" s="633"/>
      <c r="F8" s="633"/>
      <c r="G8" s="633"/>
      <c r="H8" s="633"/>
      <c r="I8" s="633"/>
      <c r="J8" s="633"/>
      <c r="K8" s="633"/>
      <c r="L8" s="633"/>
      <c r="Q8" s="597" t="s">
        <v>491</v>
      </c>
      <c r="R8" s="598"/>
      <c r="S8" s="4"/>
      <c r="T8" s="4"/>
      <c r="U8" s="35"/>
      <c r="V8" s="79">
        <f>IFERROR(VLOOKUP(V3,'Экономический эффект'!$B$9:$F$179,4,FALSE),"0")</f>
        <v>132094.79225352115</v>
      </c>
      <c r="W8" s="80">
        <f>IFERROR(VLOOKUP(V3,'Экономический эффект'!$B$9:$F$179,5,FALSE),"0")</f>
        <v>156481.52313110177</v>
      </c>
      <c r="X8" s="4"/>
      <c r="Y8" s="4"/>
      <c r="Z8" s="4"/>
      <c r="AB8"/>
      <c r="AC8" s="1"/>
      <c r="AM8" s="49"/>
    </row>
    <row r="9" spans="2:39" ht="22.25" customHeight="1" thickTop="1" thickBot="1" x14ac:dyDescent="0.25">
      <c r="C9" s="633"/>
      <c r="D9" s="633"/>
      <c r="E9" s="633"/>
      <c r="F9" s="633"/>
      <c r="G9" s="633"/>
      <c r="H9" s="633"/>
      <c r="I9" s="633"/>
      <c r="J9" s="633"/>
      <c r="K9" s="633"/>
      <c r="L9" s="633"/>
      <c r="Q9" s="600" t="s">
        <v>52</v>
      </c>
      <c r="R9" s="601"/>
      <c r="S9" s="593" t="s">
        <v>492</v>
      </c>
      <c r="T9" s="594"/>
      <c r="U9" s="35"/>
      <c r="V9" s="103" t="s">
        <v>493</v>
      </c>
      <c r="W9" s="104">
        <f>W8-V8</f>
        <v>24386.730877580616</v>
      </c>
      <c r="X9" s="4"/>
      <c r="Y9" s="4"/>
      <c r="Z9" s="4"/>
      <c r="AB9"/>
      <c r="AC9" s="1"/>
      <c r="AM9" s="50"/>
    </row>
    <row r="10" spans="2:39" ht="25.25" customHeight="1" thickTop="1" thickBot="1" x14ac:dyDescent="0.25">
      <c r="P10" s="5"/>
      <c r="Q10" s="96" t="s">
        <v>482</v>
      </c>
      <c r="R10" s="97" t="s">
        <v>494</v>
      </c>
      <c r="S10" s="13"/>
      <c r="T10" s="11"/>
      <c r="U10" s="35"/>
      <c r="V10" s="590" t="s">
        <v>495</v>
      </c>
      <c r="W10" s="590"/>
      <c r="X10" s="4"/>
      <c r="Y10" s="4"/>
      <c r="Z10" s="4"/>
      <c r="AB10"/>
      <c r="AC10" s="1"/>
      <c r="AM10" s="50"/>
    </row>
    <row r="11" spans="2:39" ht="14.75" customHeight="1" thickTop="1" x14ac:dyDescent="0.2">
      <c r="L11" s="595" t="s">
        <v>268</v>
      </c>
      <c r="M11" s="596"/>
      <c r="P11" s="6"/>
      <c r="Q11" s="96" t="s">
        <v>258</v>
      </c>
      <c r="R11" s="97" t="s">
        <v>259</v>
      </c>
      <c r="S11" s="14"/>
      <c r="T11" s="4"/>
      <c r="U11" s="35"/>
      <c r="V11" s="588" t="s">
        <v>329</v>
      </c>
      <c r="W11" s="589"/>
      <c r="X11" s="4"/>
      <c r="Y11" s="4"/>
      <c r="Z11" s="4"/>
      <c r="AA11" t="s">
        <v>496</v>
      </c>
    </row>
    <row r="12" spans="2:39" ht="26.75" customHeight="1" thickBot="1" x14ac:dyDescent="0.25">
      <c r="L12" s="597" t="s">
        <v>269</v>
      </c>
      <c r="M12" s="598"/>
      <c r="P12" s="6"/>
      <c r="Q12" s="63">
        <f>IFERROR(VLOOKUP(Q7,'Экономический эффект'!$B$9:$F$179,4,FALSE),"0")</f>
        <v>132094.79225352115</v>
      </c>
      <c r="R12" s="64">
        <f>IFERROR(VLOOKUP(Q7,'Экономический эффект'!$B$9:$F$179,5,FALSE),"0")</f>
        <v>149577.92652237468</v>
      </c>
      <c r="S12" s="4"/>
      <c r="T12" s="4"/>
      <c r="U12" s="35"/>
      <c r="V12" s="582" t="s">
        <v>330</v>
      </c>
      <c r="W12" s="583"/>
      <c r="X12" s="4"/>
      <c r="Y12" s="4"/>
      <c r="Z12" s="4"/>
    </row>
    <row r="13" spans="2:39" ht="23" customHeight="1" thickTop="1" thickBot="1" x14ac:dyDescent="0.25">
      <c r="L13" s="600" t="s">
        <v>236</v>
      </c>
      <c r="M13" s="601"/>
      <c r="N13" s="14"/>
      <c r="O13" s="227" t="s">
        <v>492</v>
      </c>
      <c r="P13" s="6"/>
      <c r="Q13" s="103" t="s">
        <v>493</v>
      </c>
      <c r="R13" s="104">
        <f>R12-Q12</f>
        <v>17483.134268853522</v>
      </c>
      <c r="U13" s="36"/>
      <c r="V13" s="584" t="s">
        <v>52</v>
      </c>
      <c r="W13" s="585"/>
    </row>
    <row r="14" spans="2:39" ht="24" customHeight="1" thickTop="1" thickBot="1" x14ac:dyDescent="0.25">
      <c r="K14" s="5"/>
      <c r="L14" s="96" t="s">
        <v>497</v>
      </c>
      <c r="M14" s="97" t="s">
        <v>498</v>
      </c>
      <c r="N14" s="14"/>
      <c r="O14" s="9"/>
      <c r="P14" s="6"/>
      <c r="Q14" s="599" t="s">
        <v>499</v>
      </c>
      <c r="R14" s="599"/>
      <c r="V14" s="83" t="s">
        <v>482</v>
      </c>
      <c r="W14" s="84" t="s">
        <v>494</v>
      </c>
    </row>
    <row r="15" spans="2:39" ht="15" customHeight="1" thickTop="1" x14ac:dyDescent="0.2">
      <c r="K15" s="6"/>
      <c r="L15" s="96" t="s">
        <v>258</v>
      </c>
      <c r="M15" s="97" t="s">
        <v>259</v>
      </c>
      <c r="P15" s="6"/>
      <c r="Q15" s="595" t="s">
        <v>334</v>
      </c>
      <c r="R15" s="596"/>
      <c r="V15" s="83" t="s">
        <v>258</v>
      </c>
      <c r="W15" s="84" t="s">
        <v>259</v>
      </c>
    </row>
    <row r="16" spans="2:39" ht="15" customHeight="1" thickBot="1" x14ac:dyDescent="0.25">
      <c r="K16" s="6"/>
      <c r="L16" s="63">
        <f>IFERROR(VLOOKUP(L11,'Экономический эффект'!$B$9:$F$179,4,FALSE),"0")</f>
        <v>98983592.559999987</v>
      </c>
      <c r="M16" s="64">
        <f>IFERROR(VLOOKUP(L11,'Экономический эффект'!$B$9:$F$179,5,FALSE),"0")</f>
        <v>112084362.16353326</v>
      </c>
      <c r="P16" s="6"/>
      <c r="Q16" s="597" t="s">
        <v>335</v>
      </c>
      <c r="R16" s="598"/>
      <c r="V16" s="161">
        <f>VLOOKUP(V11,'Экономический эффект'!$B$9:$F$179,4,FALSE)</f>
        <v>0</v>
      </c>
      <c r="W16" s="162">
        <f>VLOOKUP(V11,'Экономический эффект'!$B$9:$F$179,5,FALSE)</f>
        <v>6903.5966087270936</v>
      </c>
    </row>
    <row r="17" spans="3:39" ht="15.5" customHeight="1" thickTop="1" thickBot="1" x14ac:dyDescent="0.25">
      <c r="K17" s="6"/>
      <c r="L17" s="103" t="s">
        <v>493</v>
      </c>
      <c r="M17" s="104">
        <f>M16-L16</f>
        <v>13100769.603533268</v>
      </c>
      <c r="P17" s="7"/>
      <c r="Q17" s="600" t="s">
        <v>236</v>
      </c>
      <c r="R17" s="601"/>
      <c r="V17" s="159" t="s">
        <v>493</v>
      </c>
      <c r="W17" s="160"/>
    </row>
    <row r="18" spans="3:39" ht="25.25" customHeight="1" thickTop="1" x14ac:dyDescent="0.2">
      <c r="K18" s="6"/>
      <c r="L18" s="580" t="s">
        <v>495</v>
      </c>
      <c r="M18" s="580"/>
      <c r="Q18" s="96" t="s">
        <v>482</v>
      </c>
      <c r="R18" s="97" t="s">
        <v>494</v>
      </c>
    </row>
    <row r="19" spans="3:39" ht="18.5" customHeight="1" x14ac:dyDescent="0.2">
      <c r="K19" s="6"/>
      <c r="L19" s="537"/>
      <c r="M19" s="537"/>
      <c r="Q19" s="96" t="s">
        <v>258</v>
      </c>
      <c r="R19" s="97" t="s">
        <v>259</v>
      </c>
    </row>
    <row r="20" spans="3:39" ht="18.5" customHeight="1" thickBot="1" x14ac:dyDescent="0.25">
      <c r="K20" s="6"/>
      <c r="L20" s="537"/>
      <c r="M20" s="537"/>
      <c r="Q20" s="63">
        <f>VLOOKUP(Q15,'Экономический эффект'!$B$9:$F$179,4,FALSE)</f>
        <v>749.33758455842121</v>
      </c>
      <c r="R20" s="64">
        <f>VLOOKUP(Q15,'Экономический эффект'!$B$9:$F$179,5,FALSE)</f>
        <v>749.33758455842121</v>
      </c>
      <c r="AA20" s="158"/>
    </row>
    <row r="21" spans="3:39" ht="14.75" customHeight="1" thickTop="1" thickBot="1" x14ac:dyDescent="0.25">
      <c r="K21" s="6"/>
      <c r="L21" s="537"/>
      <c r="M21" s="537"/>
      <c r="Q21" s="103" t="s">
        <v>493</v>
      </c>
      <c r="R21" s="104">
        <f>R20-Q20</f>
        <v>0</v>
      </c>
      <c r="AA21" s="158"/>
      <c r="AB21" s="158"/>
    </row>
    <row r="22" spans="3:39" ht="14.75" customHeight="1" thickTop="1" x14ac:dyDescent="0.2">
      <c r="K22" s="6"/>
      <c r="L22" s="537"/>
      <c r="M22" s="537"/>
      <c r="Q22" s="4"/>
      <c r="R22" s="4"/>
      <c r="V22" s="2"/>
      <c r="W22" s="2"/>
      <c r="AA22" s="588" t="s">
        <v>339</v>
      </c>
      <c r="AB22" s="589"/>
      <c r="AF22" s="158"/>
      <c r="AG22" s="158"/>
      <c r="AK22" s="2"/>
      <c r="AL22" s="2"/>
      <c r="AM22" s="2"/>
    </row>
    <row r="23" spans="3:39" ht="26.75" customHeight="1" x14ac:dyDescent="0.2">
      <c r="K23" s="6"/>
      <c r="L23" s="537"/>
      <c r="M23" s="537"/>
      <c r="Q23" s="4"/>
      <c r="R23" s="4"/>
      <c r="V23" s="2"/>
      <c r="W23" s="2"/>
      <c r="AA23" s="582" t="s">
        <v>287</v>
      </c>
      <c r="AB23" s="583"/>
      <c r="AF23" s="213"/>
      <c r="AG23" s="213"/>
      <c r="AK23" s="213"/>
      <c r="AL23" s="213"/>
      <c r="AM23" s="213"/>
    </row>
    <row r="24" spans="3:39" ht="24" customHeight="1" thickBot="1" x14ac:dyDescent="0.25">
      <c r="K24" s="6"/>
      <c r="L24" s="537"/>
      <c r="M24" s="537"/>
      <c r="Q24" s="4"/>
      <c r="R24" s="4"/>
      <c r="V24" s="2"/>
      <c r="W24" s="2"/>
      <c r="AA24" s="584" t="s">
        <v>288</v>
      </c>
      <c r="AB24" s="585"/>
      <c r="AC24" s="479"/>
      <c r="AD24" s="475"/>
      <c r="AE24" s="475"/>
      <c r="AF24" s="2"/>
      <c r="AG24" s="2"/>
      <c r="AH24" s="475"/>
      <c r="AI24" s="475"/>
      <c r="AJ24" s="475"/>
      <c r="AK24" s="2"/>
      <c r="AL24" s="2"/>
      <c r="AM24" s="2"/>
    </row>
    <row r="25" spans="3:39" ht="25" thickBot="1" x14ac:dyDescent="0.25">
      <c r="K25" s="6"/>
      <c r="L25" s="537"/>
      <c r="M25" s="537"/>
      <c r="Q25" s="4"/>
      <c r="R25" s="4"/>
      <c r="Z25" s="34"/>
      <c r="AA25" s="83" t="s">
        <v>500</v>
      </c>
      <c r="AB25" s="84" t="s">
        <v>501</v>
      </c>
      <c r="AF25" s="2"/>
      <c r="AG25" s="2"/>
      <c r="AK25" s="2"/>
      <c r="AL25" s="2"/>
      <c r="AM25" s="2"/>
    </row>
    <row r="26" spans="3:39" ht="15" customHeight="1" thickTop="1" x14ac:dyDescent="0.2">
      <c r="G26" s="595" t="s">
        <v>265</v>
      </c>
      <c r="H26" s="596"/>
      <c r="K26" s="6"/>
      <c r="L26" s="537"/>
      <c r="M26" s="537"/>
      <c r="Q26" s="4"/>
      <c r="R26" s="4"/>
      <c r="V26" s="588" t="s">
        <v>338</v>
      </c>
      <c r="W26" s="589"/>
      <c r="Z26" s="35"/>
      <c r="AA26" s="83" t="s">
        <v>502</v>
      </c>
      <c r="AB26" s="84" t="s">
        <v>259</v>
      </c>
      <c r="AF26" s="2"/>
      <c r="AG26" s="2"/>
      <c r="AK26" s="2"/>
      <c r="AL26" s="2"/>
      <c r="AM26" s="2"/>
    </row>
    <row r="27" spans="3:39" ht="19.25" customHeight="1" thickBot="1" x14ac:dyDescent="0.25">
      <c r="G27" s="597" t="s">
        <v>503</v>
      </c>
      <c r="H27" s="598"/>
      <c r="K27" s="6"/>
      <c r="L27" s="537"/>
      <c r="M27" s="537"/>
      <c r="Q27" s="4"/>
      <c r="R27" s="4"/>
      <c r="V27" s="582" t="s">
        <v>286</v>
      </c>
      <c r="W27" s="583"/>
      <c r="X27" s="4"/>
      <c r="Y27" s="4"/>
      <c r="Z27" s="35"/>
      <c r="AA27" s="129">
        <f>VLOOKUP(AA22,'Экономический эффект'!$B$9:$F$179,4,FALSE)</f>
        <v>0</v>
      </c>
      <c r="AB27" s="130">
        <f>VLOOKUP(AA22,'Экономический эффект'!$B$9:$F$179,5,FALSE)</f>
        <v>0</v>
      </c>
      <c r="AF27" s="49"/>
      <c r="AG27" s="49"/>
      <c r="AK27" s="49"/>
      <c r="AL27" s="98"/>
      <c r="AM27" s="2"/>
    </row>
    <row r="28" spans="3:39" ht="26" thickTop="1" thickBot="1" x14ac:dyDescent="0.25">
      <c r="G28" s="600" t="s">
        <v>236</v>
      </c>
      <c r="H28" s="601"/>
      <c r="I28" s="602" t="s">
        <v>492</v>
      </c>
      <c r="J28" s="603"/>
      <c r="K28" s="6"/>
      <c r="L28" s="537"/>
      <c r="M28" s="537"/>
      <c r="Q28" s="4"/>
      <c r="R28" s="4"/>
      <c r="V28" s="584" t="s">
        <v>285</v>
      </c>
      <c r="W28" s="585"/>
      <c r="X28" s="486" t="s">
        <v>492</v>
      </c>
      <c r="Y28" s="481"/>
      <c r="Z28" s="35"/>
      <c r="AA28" s="135" t="s">
        <v>493</v>
      </c>
      <c r="AB28" s="136">
        <f>AA27-AB27</f>
        <v>0</v>
      </c>
      <c r="AG28" s="1"/>
    </row>
    <row r="29" spans="3:39" ht="24" customHeight="1" thickTop="1" thickBot="1" x14ac:dyDescent="0.25">
      <c r="F29" s="43"/>
      <c r="G29" s="600" t="s">
        <v>504</v>
      </c>
      <c r="H29" s="601"/>
      <c r="I29" s="8"/>
      <c r="J29" s="9"/>
      <c r="K29" s="6"/>
      <c r="L29" s="537"/>
      <c r="M29" s="537"/>
      <c r="Q29" s="4"/>
      <c r="R29" s="4"/>
      <c r="U29" s="5"/>
      <c r="V29" s="96" t="s">
        <v>505</v>
      </c>
      <c r="W29" s="97" t="s">
        <v>487</v>
      </c>
      <c r="X29" s="11"/>
      <c r="Y29" s="11"/>
      <c r="Z29" s="35"/>
      <c r="AA29" s="590" t="s">
        <v>499</v>
      </c>
      <c r="AB29" s="590"/>
      <c r="AG29" s="1"/>
    </row>
    <row r="30" spans="3:39" ht="14.75" customHeight="1" x14ac:dyDescent="0.2">
      <c r="F30" s="45"/>
      <c r="G30" s="96" t="s">
        <v>258</v>
      </c>
      <c r="H30" s="97" t="s">
        <v>259</v>
      </c>
      <c r="K30" s="6"/>
      <c r="L30" s="537"/>
      <c r="M30" s="537"/>
      <c r="Q30" s="4"/>
      <c r="R30" s="4"/>
      <c r="U30" s="6"/>
      <c r="V30" s="96" t="s">
        <v>258</v>
      </c>
      <c r="W30" s="97" t="s">
        <v>259</v>
      </c>
      <c r="X30" s="4"/>
      <c r="Y30" s="4"/>
      <c r="Z30" s="35"/>
      <c r="AA30" s="588" t="s">
        <v>340</v>
      </c>
      <c r="AB30" s="589"/>
      <c r="AF30" s="212"/>
      <c r="AG30" s="212"/>
      <c r="AK30" s="2"/>
      <c r="AL30" s="2"/>
      <c r="AM30" s="2"/>
    </row>
    <row r="31" spans="3:39" ht="24" customHeight="1" thickBot="1" x14ac:dyDescent="0.25">
      <c r="F31" s="45"/>
      <c r="G31" s="63">
        <f>IFERROR(VLOOKUP(G26,'Экономический эффект'!$B$9:$F$179,4,FALSE),"0")</f>
        <v>30583921.752930224</v>
      </c>
      <c r="H31" s="64">
        <f>IFERROR(VLOOKUP(G26,'Экономический эффект'!$B$9:$F$179,5,FALSE),"0")</f>
        <v>34631793.749642774</v>
      </c>
      <c r="K31" s="6"/>
      <c r="L31" s="537"/>
      <c r="M31" s="537"/>
      <c r="Q31" s="4"/>
      <c r="R31" s="4"/>
      <c r="U31" s="6"/>
      <c r="V31" s="63">
        <f>VLOOKUP(V26,'Экономический эффект'!$B$9:$F$179,4,FALSE)</f>
        <v>0</v>
      </c>
      <c r="W31" s="64">
        <f>VLOOKUP(V26,'Экономический эффект'!$B$9:$F$179,5,FALSE)</f>
        <v>0</v>
      </c>
      <c r="X31" s="4"/>
      <c r="Y31" s="4"/>
      <c r="Z31" s="35"/>
      <c r="AA31" s="582" t="s">
        <v>289</v>
      </c>
      <c r="AB31" s="583"/>
      <c r="AF31" s="212"/>
      <c r="AG31" s="212"/>
      <c r="AK31" s="213"/>
      <c r="AL31" s="213"/>
      <c r="AM31" s="213"/>
    </row>
    <row r="32" spans="3:39" ht="24.5" customHeight="1" thickTop="1" thickBot="1" x14ac:dyDescent="0.25">
      <c r="C32" s="636"/>
      <c r="D32" s="636"/>
      <c r="F32" s="45"/>
      <c r="G32" s="483" t="s">
        <v>493</v>
      </c>
      <c r="H32" s="484">
        <f>H31-G31</f>
        <v>4047871.9967125505</v>
      </c>
      <c r="K32" s="6"/>
      <c r="L32" s="537"/>
      <c r="M32" s="537"/>
      <c r="Q32" s="4"/>
      <c r="R32" s="4"/>
      <c r="U32" s="6"/>
      <c r="V32" s="103" t="s">
        <v>493</v>
      </c>
      <c r="W32" s="104">
        <f>V31-W31</f>
        <v>0</v>
      </c>
      <c r="Z32" s="36"/>
      <c r="AA32" s="584" t="s">
        <v>290</v>
      </c>
      <c r="AB32" s="585"/>
      <c r="AC32" s="479"/>
      <c r="AD32" s="475"/>
      <c r="AE32" s="475"/>
      <c r="AF32" s="212"/>
      <c r="AG32" s="212"/>
      <c r="AH32" s="475"/>
      <c r="AI32" s="475"/>
      <c r="AJ32" s="475"/>
      <c r="AK32" s="2"/>
      <c r="AL32" s="2"/>
      <c r="AM32" s="2"/>
    </row>
    <row r="33" spans="6:39" ht="27.5" customHeight="1" thickTop="1" thickBot="1" x14ac:dyDescent="0.25">
      <c r="F33" s="45"/>
      <c r="G33" s="178" t="s">
        <v>202</v>
      </c>
      <c r="H33" s="179">
        <f>'Экономический эффект'!G13</f>
        <v>1598390.4807532313</v>
      </c>
      <c r="K33" s="6"/>
      <c r="L33" s="537"/>
      <c r="M33" s="537"/>
      <c r="Q33" s="4"/>
      <c r="R33" s="4"/>
      <c r="U33" s="6"/>
      <c r="V33" s="580" t="s">
        <v>506</v>
      </c>
      <c r="W33" s="580"/>
      <c r="AA33" s="83" t="s">
        <v>482</v>
      </c>
      <c r="AB33" s="84" t="s">
        <v>485</v>
      </c>
      <c r="AF33" s="2"/>
      <c r="AG33" s="2"/>
      <c r="AK33" s="2"/>
      <c r="AL33" s="2"/>
      <c r="AM33" s="2"/>
    </row>
    <row r="34" spans="6:39" ht="15.5" customHeight="1" thickTop="1" x14ac:dyDescent="0.2">
      <c r="F34" s="45"/>
      <c r="G34" s="604" t="s">
        <v>495</v>
      </c>
      <c r="H34" s="604"/>
      <c r="K34" s="6"/>
      <c r="L34" s="537"/>
      <c r="M34" s="537"/>
      <c r="Q34" s="4"/>
      <c r="R34" s="4"/>
      <c r="U34" s="6"/>
      <c r="V34" s="537"/>
      <c r="W34" s="537"/>
      <c r="AA34" s="83" t="s">
        <v>258</v>
      </c>
      <c r="AB34" s="84" t="s">
        <v>259</v>
      </c>
      <c r="AF34" s="2"/>
      <c r="AG34" s="2"/>
      <c r="AK34" s="2"/>
      <c r="AL34" s="2"/>
      <c r="AM34" s="2"/>
    </row>
    <row r="35" spans="6:39" ht="15.5" customHeight="1" thickBot="1" x14ac:dyDescent="0.25">
      <c r="F35" s="45"/>
      <c r="G35" s="537"/>
      <c r="H35" s="537"/>
      <c r="K35" s="6"/>
      <c r="L35" s="537"/>
      <c r="M35" s="537"/>
      <c r="Q35" s="4"/>
      <c r="R35" s="4"/>
      <c r="U35" s="6"/>
      <c r="V35" s="537"/>
      <c r="W35" s="537"/>
      <c r="AA35" s="129">
        <f>VLOOKUP(AA30,'Экономический эффект'!$B$9:$F$179,4,FALSE)</f>
        <v>0</v>
      </c>
      <c r="AB35" s="130">
        <f>VLOOKUP(AA30,'Экономический эффект'!$B$9:$F$179,5,FALSE)</f>
        <v>0</v>
      </c>
      <c r="AF35" s="99"/>
      <c r="AG35" s="99"/>
      <c r="AH35" s="100"/>
      <c r="AI35" s="100"/>
      <c r="AJ35" s="100"/>
      <c r="AK35" s="99"/>
      <c r="AL35" s="99"/>
      <c r="AM35" s="2"/>
    </row>
    <row r="36" spans="6:39" ht="15.5" customHeight="1" thickTop="1" thickBot="1" x14ac:dyDescent="0.25">
      <c r="F36" s="45"/>
      <c r="G36" s="537"/>
      <c r="H36" s="537"/>
      <c r="K36" s="6"/>
      <c r="L36" s="537"/>
      <c r="M36" s="537"/>
      <c r="Q36" s="4"/>
      <c r="R36" s="4"/>
      <c r="U36" s="6"/>
      <c r="V36" s="537"/>
      <c r="W36" s="537"/>
      <c r="AA36" s="103" t="s">
        <v>493</v>
      </c>
      <c r="AB36" s="136">
        <f>AB35-AA35</f>
        <v>0</v>
      </c>
      <c r="AF36" s="99"/>
      <c r="AG36" s="99"/>
      <c r="AH36" s="100"/>
      <c r="AI36" s="100"/>
      <c r="AJ36" s="100"/>
      <c r="AK36" s="99"/>
      <c r="AL36" s="99"/>
      <c r="AM36" s="2"/>
    </row>
    <row r="37" spans="6:39" ht="15.5" customHeight="1" thickTop="1" thickBot="1" x14ac:dyDescent="0.25">
      <c r="F37" s="45"/>
      <c r="G37" s="537"/>
      <c r="H37" s="537"/>
      <c r="K37" s="6"/>
      <c r="L37" s="581"/>
      <c r="M37" s="581"/>
      <c r="Q37" s="222"/>
      <c r="R37" s="222"/>
      <c r="U37" s="6"/>
      <c r="V37" s="581"/>
      <c r="W37" s="581"/>
      <c r="AG37" s="1"/>
    </row>
    <row r="38" spans="6:39" ht="15" customHeight="1" thickTop="1" x14ac:dyDescent="0.2">
      <c r="F38" s="45"/>
      <c r="G38" s="537"/>
      <c r="H38" s="537"/>
      <c r="K38" s="6"/>
      <c r="L38" s="595" t="s">
        <v>270</v>
      </c>
      <c r="M38" s="596"/>
      <c r="Q38" s="595" t="s">
        <v>336</v>
      </c>
      <c r="R38" s="596"/>
      <c r="U38" s="6"/>
      <c r="V38" s="588" t="s">
        <v>341</v>
      </c>
      <c r="W38" s="589"/>
      <c r="Z38" s="4"/>
      <c r="AA38" s="588" t="s">
        <v>342</v>
      </c>
      <c r="AB38" s="589"/>
      <c r="AC38" s="4"/>
      <c r="AD38" s="4"/>
      <c r="AE38" s="4"/>
      <c r="AF38" s="588" t="s">
        <v>343</v>
      </c>
      <c r="AG38" s="589"/>
      <c r="AH38" s="4"/>
      <c r="AI38" s="4"/>
      <c r="AJ38" s="4"/>
      <c r="AK38" s="588" t="s">
        <v>344</v>
      </c>
      <c r="AL38" s="589"/>
      <c r="AM38" s="32"/>
    </row>
    <row r="39" spans="6:39" ht="26" customHeight="1" x14ac:dyDescent="0.2">
      <c r="F39" s="45"/>
      <c r="G39" s="537"/>
      <c r="H39" s="537"/>
      <c r="K39" s="6"/>
      <c r="L39" s="597" t="s">
        <v>337</v>
      </c>
      <c r="M39" s="598"/>
      <c r="Q39" s="597" t="s">
        <v>507</v>
      </c>
      <c r="R39" s="598"/>
      <c r="U39" s="6"/>
      <c r="V39" s="582" t="s">
        <v>291</v>
      </c>
      <c r="W39" s="583"/>
      <c r="X39" s="4"/>
      <c r="Y39" s="4"/>
      <c r="Z39" s="4"/>
      <c r="AA39" s="582" t="s">
        <v>57</v>
      </c>
      <c r="AB39" s="583"/>
      <c r="AC39" s="4"/>
      <c r="AD39" s="4"/>
      <c r="AE39" s="4"/>
      <c r="AF39" s="582" t="s">
        <v>293</v>
      </c>
      <c r="AG39" s="583"/>
      <c r="AH39" s="4"/>
      <c r="AI39" s="4"/>
      <c r="AJ39" s="4"/>
      <c r="AK39" s="582" t="s">
        <v>294</v>
      </c>
      <c r="AL39" s="583"/>
      <c r="AM39" s="37"/>
    </row>
    <row r="40" spans="6:39" ht="24" customHeight="1" thickBot="1" x14ac:dyDescent="0.25">
      <c r="F40" s="45"/>
      <c r="G40" s="537"/>
      <c r="H40" s="537"/>
      <c r="K40" s="7"/>
      <c r="L40" s="600" t="s">
        <v>236</v>
      </c>
      <c r="M40" s="601"/>
      <c r="Q40" s="600" t="s">
        <v>285</v>
      </c>
      <c r="R40" s="601"/>
      <c r="S40" s="602" t="s">
        <v>492</v>
      </c>
      <c r="T40" s="603"/>
      <c r="U40" s="6"/>
      <c r="V40" s="584" t="s">
        <v>285</v>
      </c>
      <c r="W40" s="585"/>
      <c r="X40" s="480" t="s">
        <v>492</v>
      </c>
      <c r="Y40" s="486"/>
      <c r="Z40" s="481"/>
      <c r="AA40" s="584" t="s">
        <v>292</v>
      </c>
      <c r="AB40" s="585"/>
      <c r="AC40" s="211" t="s">
        <v>499</v>
      </c>
      <c r="AD40" s="486"/>
      <c r="AE40" s="481"/>
      <c r="AF40" s="584" t="s">
        <v>63</v>
      </c>
      <c r="AG40" s="585"/>
      <c r="AH40" s="211" t="s">
        <v>499</v>
      </c>
      <c r="AI40" s="486"/>
      <c r="AJ40" s="481"/>
      <c r="AK40" s="584" t="s">
        <v>39</v>
      </c>
      <c r="AL40" s="585"/>
      <c r="AM40" s="32"/>
    </row>
    <row r="41" spans="6:39" ht="24" customHeight="1" thickTop="1" x14ac:dyDescent="0.2">
      <c r="F41" s="45"/>
      <c r="G41" s="537"/>
      <c r="H41" s="537"/>
      <c r="L41" s="96" t="s">
        <v>505</v>
      </c>
      <c r="M41" s="97" t="s">
        <v>487</v>
      </c>
      <c r="O41" s="223"/>
      <c r="P41" s="224"/>
      <c r="Q41" s="96" t="s">
        <v>505</v>
      </c>
      <c r="R41" s="97" t="s">
        <v>487</v>
      </c>
      <c r="S41" s="8"/>
      <c r="T41" s="10"/>
      <c r="U41" s="5"/>
      <c r="V41" s="96" t="s">
        <v>497</v>
      </c>
      <c r="W41" s="97" t="s">
        <v>479</v>
      </c>
      <c r="X41" s="11"/>
      <c r="Y41" s="11"/>
      <c r="Z41" s="11"/>
      <c r="AA41" s="83" t="s">
        <v>500</v>
      </c>
      <c r="AB41" s="84" t="s">
        <v>487</v>
      </c>
      <c r="AC41" s="11"/>
      <c r="AD41" s="11"/>
      <c r="AE41" s="11"/>
      <c r="AF41" s="83" t="s">
        <v>482</v>
      </c>
      <c r="AG41" s="84" t="s">
        <v>479</v>
      </c>
      <c r="AH41" s="11"/>
      <c r="AI41" s="11"/>
      <c r="AJ41" s="12"/>
      <c r="AK41" s="584" t="s">
        <v>508</v>
      </c>
      <c r="AL41" s="585"/>
      <c r="AM41" s="32"/>
    </row>
    <row r="42" spans="6:39" ht="14.75" customHeight="1" x14ac:dyDescent="0.2">
      <c r="F42" s="45"/>
      <c r="G42" s="537"/>
      <c r="H42" s="537"/>
      <c r="L42" s="96" t="s">
        <v>258</v>
      </c>
      <c r="M42" s="97" t="s">
        <v>259</v>
      </c>
      <c r="Q42" s="96" t="s">
        <v>258</v>
      </c>
      <c r="R42" s="97" t="s">
        <v>259</v>
      </c>
      <c r="U42" s="6"/>
      <c r="V42" s="96" t="s">
        <v>258</v>
      </c>
      <c r="W42" s="97" t="s">
        <v>259</v>
      </c>
      <c r="X42" s="4"/>
      <c r="Y42" s="4"/>
      <c r="Z42" s="4"/>
      <c r="AA42" s="83" t="s">
        <v>502</v>
      </c>
      <c r="AB42" s="84" t="s">
        <v>259</v>
      </c>
      <c r="AC42" s="4"/>
      <c r="AD42" s="4"/>
      <c r="AE42" s="4"/>
      <c r="AF42" s="83" t="s">
        <v>258</v>
      </c>
      <c r="AG42" s="84" t="s">
        <v>259</v>
      </c>
      <c r="AH42" s="4"/>
      <c r="AI42" s="4"/>
      <c r="AJ42" s="4"/>
      <c r="AK42" s="83" t="s">
        <v>258</v>
      </c>
      <c r="AL42" s="84" t="s">
        <v>259</v>
      </c>
      <c r="AM42" s="2"/>
    </row>
    <row r="43" spans="6:39" ht="14.75" customHeight="1" thickBot="1" x14ac:dyDescent="0.25">
      <c r="F43" s="45"/>
      <c r="G43" s="537"/>
      <c r="H43" s="537"/>
      <c r="L43" s="63">
        <f>IFERROR(VLOOKUP(L38,'Экономический эффект'!$B$9:$F$179,4,FALSE),"0")</f>
        <v>68399670.807069764</v>
      </c>
      <c r="M43" s="64">
        <f>IFERROR(VLOOKUP(L38,'Экономический эффект'!$B$9:$F$179,5,FALSE),"0")</f>
        <v>77452568.413890481</v>
      </c>
      <c r="Q43" s="63">
        <f>VLOOKUP(Q38,'Экономический эффект'!$B$9:$F$179,4,FALSE)</f>
        <v>517.80747477004707</v>
      </c>
      <c r="R43" s="64">
        <f>VLOOKUP(Q38,'Экономический эффект'!$B$9:$F$179,5,FALSE)</f>
        <v>517.80747477004707</v>
      </c>
      <c r="U43" s="6"/>
      <c r="V43" s="63">
        <f>VLOOKUP(V38,'Экономический эффект'!$B$9:$F$179,4,FALSE)</f>
        <v>0</v>
      </c>
      <c r="W43" s="64">
        <f>VLOOKUP(V38,'Экономический эффект'!$B$9:$F$179,5,FALSE)</f>
        <v>0</v>
      </c>
      <c r="X43" s="4"/>
      <c r="Y43" s="4"/>
      <c r="Z43" s="4"/>
      <c r="AA43" s="129">
        <f>VLOOKUP(AA38,'Экономический эффект'!$B$9:$F$179,4,FALSE)</f>
        <v>0</v>
      </c>
      <c r="AB43" s="130">
        <f>VLOOKUP(AA38,'Экономический эффект'!$B$9:$F$179,5,FALSE)</f>
        <v>0</v>
      </c>
      <c r="AC43" s="4"/>
      <c r="AD43" s="4"/>
      <c r="AE43" s="4"/>
      <c r="AF43" s="131">
        <f>VLOOKUP(AF38,'Экономический эффект'!$B$9:$F$179,4,FALSE)</f>
        <v>0</v>
      </c>
      <c r="AG43" s="132">
        <f>VLOOKUP(AF38,'Экономический эффект'!$B$9:$F$179,5,FALSE)</f>
        <v>0</v>
      </c>
      <c r="AH43" s="4"/>
      <c r="AI43" s="4"/>
      <c r="AJ43" s="4"/>
      <c r="AK43" s="133">
        <f>VLOOKUP(AK38,'Экономический эффект'!$B$9:$F$179,4,FALSE)</f>
        <v>1.3</v>
      </c>
      <c r="AL43" s="134">
        <f>VLOOKUP(AK38,'Экономический эффект'!$B$9:$F$179,5,FALSE)</f>
        <v>1.3</v>
      </c>
      <c r="AM43" s="2"/>
    </row>
    <row r="44" spans="6:39" ht="14.75" customHeight="1" thickTop="1" thickBot="1" x14ac:dyDescent="0.25">
      <c r="F44" s="45"/>
      <c r="G44" s="537"/>
      <c r="H44" s="537"/>
      <c r="L44" s="103" t="s">
        <v>493</v>
      </c>
      <c r="M44" s="104">
        <f>M43-L43</f>
        <v>9052897.6068207175</v>
      </c>
      <c r="Q44" s="103" t="s">
        <v>493</v>
      </c>
      <c r="R44" s="104">
        <f>Q43-R43</f>
        <v>0</v>
      </c>
      <c r="U44" s="6"/>
      <c r="V44" s="103" t="s">
        <v>493</v>
      </c>
      <c r="W44" s="104">
        <f>V43-W43</f>
        <v>0</v>
      </c>
      <c r="X44" s="4"/>
      <c r="Y44" s="4"/>
      <c r="Z44" s="4"/>
      <c r="AA44" s="103" t="s">
        <v>493</v>
      </c>
      <c r="AB44" s="136">
        <f>AA43-AB43</f>
        <v>0</v>
      </c>
      <c r="AC44" s="4"/>
      <c r="AD44" s="4"/>
      <c r="AE44" s="4"/>
      <c r="AF44" s="103" t="s">
        <v>493</v>
      </c>
      <c r="AG44" s="136">
        <f>AG43-AF43</f>
        <v>0</v>
      </c>
      <c r="AH44" s="4"/>
      <c r="AI44" s="4"/>
      <c r="AJ44" s="4"/>
      <c r="AK44" s="105"/>
      <c r="AL44" s="105"/>
      <c r="AM44" s="2"/>
    </row>
    <row r="45" spans="6:39" ht="26.5" customHeight="1" thickTop="1" x14ac:dyDescent="0.2">
      <c r="F45" s="45"/>
      <c r="G45" s="537"/>
      <c r="H45" s="537"/>
      <c r="Q45" s="580" t="s">
        <v>499</v>
      </c>
      <c r="R45" s="580"/>
      <c r="U45" s="6"/>
      <c r="V45" s="580" t="s">
        <v>506</v>
      </c>
      <c r="W45" s="580"/>
      <c r="AA45" s="3"/>
      <c r="AB45" s="3"/>
      <c r="AG45" s="1"/>
    </row>
    <row r="46" spans="6:39" ht="14.75" customHeight="1" thickBot="1" x14ac:dyDescent="0.25">
      <c r="F46" s="45"/>
      <c r="G46" s="537"/>
      <c r="H46" s="537"/>
      <c r="Q46" s="581"/>
      <c r="R46" s="581"/>
      <c r="U46" s="6"/>
      <c r="V46" s="537"/>
      <c r="W46" s="537"/>
      <c r="AA46" s="3"/>
      <c r="AB46" s="3"/>
      <c r="AG46" s="1"/>
    </row>
    <row r="47" spans="6:39" ht="15" customHeight="1" thickTop="1" x14ac:dyDescent="0.2">
      <c r="F47" s="45"/>
      <c r="G47" s="537"/>
      <c r="H47" s="537"/>
      <c r="Q47" s="595" t="s">
        <v>325</v>
      </c>
      <c r="R47" s="596"/>
      <c r="U47" s="6"/>
      <c r="V47" s="537"/>
      <c r="W47" s="537"/>
      <c r="AA47" s="588" t="s">
        <v>347</v>
      </c>
      <c r="AB47" s="589"/>
      <c r="AE47" s="4"/>
      <c r="AF47" s="588" t="s">
        <v>348</v>
      </c>
      <c r="AG47" s="589"/>
      <c r="AH47" s="4"/>
      <c r="AI47" s="4"/>
      <c r="AJ47" s="4"/>
      <c r="AK47" s="588" t="s">
        <v>351</v>
      </c>
      <c r="AL47" s="589"/>
    </row>
    <row r="48" spans="6:39" ht="24.5" customHeight="1" x14ac:dyDescent="0.2">
      <c r="F48" s="45"/>
      <c r="G48" s="537"/>
      <c r="H48" s="537"/>
      <c r="Q48" s="597" t="s">
        <v>491</v>
      </c>
      <c r="R48" s="598"/>
      <c r="U48" s="6"/>
      <c r="V48" s="537"/>
      <c r="W48" s="537"/>
      <c r="AA48" s="582" t="s">
        <v>295</v>
      </c>
      <c r="AB48" s="583"/>
      <c r="AC48" s="4"/>
      <c r="AD48" s="4"/>
      <c r="AE48" s="4"/>
      <c r="AF48" s="582" t="s">
        <v>349</v>
      </c>
      <c r="AG48" s="583"/>
      <c r="AH48" s="4"/>
      <c r="AI48" s="4"/>
      <c r="AJ48" s="4"/>
      <c r="AK48" s="582" t="s">
        <v>289</v>
      </c>
      <c r="AL48" s="583"/>
    </row>
    <row r="49" spans="6:38" ht="24" customHeight="1" thickBot="1" x14ac:dyDescent="0.25">
      <c r="F49" s="45"/>
      <c r="G49" s="537"/>
      <c r="H49" s="537"/>
      <c r="Q49" s="600" t="s">
        <v>52</v>
      </c>
      <c r="R49" s="601"/>
      <c r="U49" s="6"/>
      <c r="V49" s="537"/>
      <c r="W49" s="537"/>
      <c r="Z49" s="225"/>
      <c r="AA49" s="584" t="s">
        <v>285</v>
      </c>
      <c r="AB49" s="585"/>
      <c r="AC49" s="480" t="s">
        <v>492</v>
      </c>
      <c r="AD49" s="486"/>
      <c r="AE49" s="481"/>
      <c r="AF49" s="584" t="s">
        <v>509</v>
      </c>
      <c r="AG49" s="585"/>
      <c r="AH49" s="211" t="s">
        <v>499</v>
      </c>
      <c r="AI49" s="486"/>
      <c r="AJ49" s="481"/>
      <c r="AK49" s="584" t="s">
        <v>510</v>
      </c>
      <c r="AL49" s="585"/>
    </row>
    <row r="50" spans="6:38" ht="27" thickTop="1" x14ac:dyDescent="0.2">
      <c r="F50" s="45"/>
      <c r="G50" s="537"/>
      <c r="H50" s="537"/>
      <c r="Q50" s="96" t="s">
        <v>497</v>
      </c>
      <c r="R50" s="97" t="s">
        <v>498</v>
      </c>
      <c r="U50" s="6"/>
      <c r="V50" s="537"/>
      <c r="W50" s="537"/>
      <c r="Z50" s="5"/>
      <c r="AA50" s="96" t="s">
        <v>505</v>
      </c>
      <c r="AB50" s="97" t="s">
        <v>487</v>
      </c>
      <c r="AC50" s="11"/>
      <c r="AD50" s="11"/>
      <c r="AE50" s="11"/>
      <c r="AF50" s="478" t="s">
        <v>511</v>
      </c>
      <c r="AG50" s="84" t="s">
        <v>487</v>
      </c>
      <c r="AH50" s="11"/>
      <c r="AI50" s="11"/>
      <c r="AJ50" s="11"/>
      <c r="AK50" s="83" t="s">
        <v>482</v>
      </c>
      <c r="AL50" s="84" t="s">
        <v>511</v>
      </c>
    </row>
    <row r="51" spans="6:38" ht="14.75" customHeight="1" x14ac:dyDescent="0.2">
      <c r="F51" s="45"/>
      <c r="G51" s="537"/>
      <c r="H51" s="537"/>
      <c r="Q51" s="96" t="s">
        <v>258</v>
      </c>
      <c r="R51" s="97" t="s">
        <v>259</v>
      </c>
      <c r="U51" s="6"/>
      <c r="V51" s="537"/>
      <c r="W51" s="537"/>
      <c r="Z51" s="6"/>
      <c r="AA51" s="96" t="s">
        <v>258</v>
      </c>
      <c r="AB51" s="97" t="s">
        <v>259</v>
      </c>
      <c r="AC51" s="4"/>
      <c r="AD51" s="4"/>
      <c r="AE51" s="4"/>
      <c r="AF51" s="83" t="s">
        <v>502</v>
      </c>
      <c r="AG51" s="84" t="s">
        <v>259</v>
      </c>
      <c r="AH51" s="4"/>
      <c r="AI51" s="4"/>
      <c r="AJ51" s="4"/>
      <c r="AK51" s="83" t="s">
        <v>258</v>
      </c>
      <c r="AL51" s="84" t="s">
        <v>259</v>
      </c>
    </row>
    <row r="52" spans="6:38" ht="15" customHeight="1" thickBot="1" x14ac:dyDescent="0.25">
      <c r="F52" s="45"/>
      <c r="G52" s="537"/>
      <c r="H52" s="537"/>
      <c r="Q52" s="63">
        <f>IFERROR(VLOOKUP(Q47,'Экономический эффект'!$B$9:$F$179,4,FALSE),"0")</f>
        <v>132094.79225352115</v>
      </c>
      <c r="R52" s="64">
        <f>IFERROR(VLOOKUP(Q47,'Экономический эффект'!$B$9:$F$179,5,FALSE),"0")</f>
        <v>149577.92652237468</v>
      </c>
      <c r="U52" s="6"/>
      <c r="V52" s="537"/>
      <c r="W52" s="537"/>
      <c r="Z52" s="6"/>
      <c r="AA52" s="63">
        <f>VLOOKUP(AA47,'Экономический эффект'!$B$9:$F$179,4,FALSE)</f>
        <v>0</v>
      </c>
      <c r="AB52" s="64">
        <f>VLOOKUP(AA47,'Экономический эффект'!$B$9:$F$179,5,FALSE)</f>
        <v>0</v>
      </c>
      <c r="AC52" s="4"/>
      <c r="AD52" s="4"/>
      <c r="AE52" s="4"/>
      <c r="AF52" s="129">
        <f>VLOOKUP(AF47,'Экономический эффект'!$B$9:$F$179,4,FALSE)</f>
        <v>0</v>
      </c>
      <c r="AG52" s="130">
        <f>VLOOKUP(AF47,'Экономический эффект'!$B$9:$F$179,5,FALSE)</f>
        <v>0</v>
      </c>
      <c r="AH52" s="4"/>
      <c r="AI52" s="4"/>
      <c r="AJ52" s="4"/>
      <c r="AK52" s="131">
        <f>VLOOKUP(AK47,'Экономический эффект'!$B$9:$F$179,4,FALSE)</f>
        <v>0</v>
      </c>
      <c r="AL52" s="132">
        <f>VLOOKUP(AK47,'Экономический эффект'!$B$9:$F$179,5,FALSE)</f>
        <v>0</v>
      </c>
    </row>
    <row r="53" spans="6:38" ht="15" customHeight="1" thickTop="1" thickBot="1" x14ac:dyDescent="0.25">
      <c r="F53" s="45"/>
      <c r="G53" s="537"/>
      <c r="H53" s="537"/>
      <c r="Q53" s="103" t="s">
        <v>493</v>
      </c>
      <c r="R53" s="104">
        <f>R52-Q52</f>
        <v>17483.134268853522</v>
      </c>
      <c r="U53" s="6"/>
      <c r="V53" s="537"/>
      <c r="W53" s="537"/>
      <c r="Z53" s="6"/>
      <c r="AA53" s="103" t="s">
        <v>493</v>
      </c>
      <c r="AB53" s="104">
        <f>AA52-AB52</f>
        <v>0</v>
      </c>
      <c r="AC53" s="4"/>
      <c r="AD53" s="4"/>
      <c r="AE53" s="4"/>
      <c r="AF53" s="103" t="s">
        <v>493</v>
      </c>
      <c r="AG53" s="106">
        <f>AF52-AG52</f>
        <v>0</v>
      </c>
      <c r="AH53" s="4"/>
      <c r="AI53" s="4"/>
      <c r="AJ53" s="4"/>
      <c r="AK53" s="103" t="s">
        <v>493</v>
      </c>
      <c r="AL53" s="104">
        <f>AL52-AK52</f>
        <v>0</v>
      </c>
    </row>
    <row r="54" spans="6:38" ht="15" customHeight="1" thickTop="1" x14ac:dyDescent="0.2">
      <c r="F54" s="45"/>
      <c r="G54" s="537"/>
      <c r="H54" s="537"/>
      <c r="L54" s="482"/>
      <c r="M54"/>
      <c r="R54"/>
      <c r="U54" s="6"/>
      <c r="V54" s="537"/>
      <c r="W54" s="537"/>
      <c r="Z54" s="6"/>
      <c r="AB54"/>
    </row>
    <row r="55" spans="6:38" ht="14.75" customHeight="1" thickBot="1" x14ac:dyDescent="0.25">
      <c r="F55" s="45"/>
      <c r="G55" s="537"/>
      <c r="H55" s="537"/>
      <c r="R55"/>
      <c r="U55" s="6"/>
      <c r="V55" s="641"/>
      <c r="W55" s="641"/>
      <c r="Z55" s="6"/>
      <c r="AA55" s="3"/>
      <c r="AB55" s="3"/>
      <c r="AG55" s="1"/>
    </row>
    <row r="56" spans="6:38" ht="15" customHeight="1" x14ac:dyDescent="0.2">
      <c r="F56" s="45"/>
      <c r="G56" s="537"/>
      <c r="H56" s="537"/>
      <c r="Q56" s="562"/>
      <c r="R56" s="562"/>
      <c r="U56" s="6"/>
      <c r="V56" s="588" t="s">
        <v>345</v>
      </c>
      <c r="W56" s="589"/>
      <c r="Z56" s="6"/>
      <c r="AA56" s="588" t="s">
        <v>354</v>
      </c>
      <c r="AB56" s="589"/>
      <c r="AE56" s="4"/>
      <c r="AF56" s="588" t="s">
        <v>355</v>
      </c>
      <c r="AG56" s="589"/>
      <c r="AH56" s="4"/>
      <c r="AI56" s="4"/>
      <c r="AJ56" s="4"/>
      <c r="AK56" s="588" t="s">
        <v>356</v>
      </c>
      <c r="AL56" s="589"/>
    </row>
    <row r="57" spans="6:38" ht="24.5" customHeight="1" x14ac:dyDescent="0.2">
      <c r="F57" s="45"/>
      <c r="G57" s="537"/>
      <c r="H57" s="537"/>
      <c r="Q57" s="563"/>
      <c r="R57" s="563"/>
      <c r="U57" s="6"/>
      <c r="V57" s="582" t="s">
        <v>346</v>
      </c>
      <c r="W57" s="583"/>
      <c r="Z57" s="6"/>
      <c r="AA57" s="582" t="s">
        <v>298</v>
      </c>
      <c r="AB57" s="583"/>
      <c r="AC57" s="4"/>
      <c r="AD57" s="4"/>
      <c r="AE57" s="4"/>
      <c r="AF57" s="582" t="s">
        <v>349</v>
      </c>
      <c r="AG57" s="583"/>
      <c r="AH57" s="4"/>
      <c r="AI57" s="4"/>
      <c r="AJ57" s="4"/>
      <c r="AK57" s="582" t="s">
        <v>289</v>
      </c>
      <c r="AL57" s="583"/>
    </row>
    <row r="58" spans="6:38" ht="24" customHeight="1" thickBot="1" x14ac:dyDescent="0.25">
      <c r="F58" s="45"/>
      <c r="G58" s="537"/>
      <c r="H58" s="537"/>
      <c r="Q58" s="562"/>
      <c r="R58" s="562"/>
      <c r="U58" s="7"/>
      <c r="V58" s="584" t="s">
        <v>285</v>
      </c>
      <c r="W58" s="585"/>
      <c r="Z58" s="6"/>
      <c r="AA58" s="584" t="s">
        <v>285</v>
      </c>
      <c r="AB58" s="585"/>
      <c r="AC58" s="480" t="s">
        <v>492</v>
      </c>
      <c r="AD58" s="486"/>
      <c r="AE58" s="481"/>
      <c r="AF58" s="584" t="s">
        <v>299</v>
      </c>
      <c r="AG58" s="585"/>
      <c r="AH58" s="211" t="s">
        <v>499</v>
      </c>
      <c r="AI58" s="486"/>
      <c r="AJ58" s="481"/>
      <c r="AK58" s="584" t="s">
        <v>88</v>
      </c>
      <c r="AL58" s="585"/>
    </row>
    <row r="59" spans="6:38" ht="27" thickTop="1" x14ac:dyDescent="0.2">
      <c r="F59" s="45"/>
      <c r="G59" s="537"/>
      <c r="H59" s="537"/>
      <c r="Q59" s="2"/>
      <c r="R59" s="2"/>
      <c r="V59" s="96" t="s">
        <v>505</v>
      </c>
      <c r="W59" s="97" t="s">
        <v>487</v>
      </c>
      <c r="X59" s="5"/>
      <c r="Y59" s="223"/>
      <c r="Z59" s="226"/>
      <c r="AA59" s="96" t="s">
        <v>505</v>
      </c>
      <c r="AB59" s="97" t="s">
        <v>487</v>
      </c>
      <c r="AC59" s="11"/>
      <c r="AD59" s="11"/>
      <c r="AE59" s="11"/>
      <c r="AF59" s="478" t="s">
        <v>511</v>
      </c>
      <c r="AG59" s="84" t="s">
        <v>487</v>
      </c>
      <c r="AH59" s="11"/>
      <c r="AI59" s="11"/>
      <c r="AJ59" s="11"/>
      <c r="AK59" s="83" t="s">
        <v>482</v>
      </c>
      <c r="AL59" s="84" t="s">
        <v>511</v>
      </c>
    </row>
    <row r="60" spans="6:38" ht="14.75" customHeight="1" x14ac:dyDescent="0.2">
      <c r="F60" s="45"/>
      <c r="G60" s="537"/>
      <c r="H60" s="537"/>
      <c r="Q60" s="2"/>
      <c r="R60" s="2"/>
      <c r="V60" s="96" t="s">
        <v>258</v>
      </c>
      <c r="W60" s="97" t="s">
        <v>259</v>
      </c>
      <c r="Z60" s="6"/>
      <c r="AA60" s="96" t="s">
        <v>258</v>
      </c>
      <c r="AB60" s="97" t="s">
        <v>259</v>
      </c>
      <c r="AC60" s="4"/>
      <c r="AD60" s="4"/>
      <c r="AE60" s="4"/>
      <c r="AF60" s="83" t="s">
        <v>502</v>
      </c>
      <c r="AG60" s="84" t="s">
        <v>259</v>
      </c>
      <c r="AH60" s="4"/>
      <c r="AI60" s="4"/>
      <c r="AJ60" s="4"/>
      <c r="AK60" s="83" t="s">
        <v>258</v>
      </c>
      <c r="AL60" s="84" t="s">
        <v>259</v>
      </c>
    </row>
    <row r="61" spans="6:38" ht="15" customHeight="1" thickBot="1" x14ac:dyDescent="0.25">
      <c r="F61" s="45"/>
      <c r="G61" s="537"/>
      <c r="H61" s="537"/>
      <c r="Q61" s="99"/>
      <c r="R61" s="99"/>
      <c r="V61" s="63">
        <f>VLOOKUP(V56,'Экономический эффект'!$B$9:$F$179,4,FALSE)</f>
        <v>0</v>
      </c>
      <c r="W61" s="64">
        <f>VLOOKUP(V56,'Экономический эффект'!$B$9:$F$179,5,FALSE)</f>
        <v>0</v>
      </c>
      <c r="Z61" s="6"/>
      <c r="AA61" s="63">
        <f>VLOOKUP(AA56,'Экономический эффект'!$B$9:$F$179,4,FALSE)</f>
        <v>0</v>
      </c>
      <c r="AB61" s="64">
        <f>VLOOKUP(AA56,'Экономический эффект'!$B$9:$F$179,5,FALSE)</f>
        <v>0</v>
      </c>
      <c r="AC61" s="4"/>
      <c r="AD61" s="4"/>
      <c r="AE61" s="4"/>
      <c r="AF61" s="129">
        <f>VLOOKUP(AF56,'Экономический эффект'!$B$9:$F$179,4,FALSE)</f>
        <v>0</v>
      </c>
      <c r="AG61" s="130">
        <f>VLOOKUP(AF56,'Экономический эффект'!$B$9:$F$179,5,FALSE)</f>
        <v>0</v>
      </c>
      <c r="AH61" s="4"/>
      <c r="AI61" s="4"/>
      <c r="AJ61" s="4"/>
      <c r="AK61" s="131">
        <f>VLOOKUP(AK56,'Экономический эффект'!$B$9:$F$179,4,FALSE)</f>
        <v>0</v>
      </c>
      <c r="AL61" s="132">
        <f>VLOOKUP(AK56,'Экономический эффект'!$B$9:$F$179,5,FALSE)</f>
        <v>0</v>
      </c>
    </row>
    <row r="62" spans="6:38" ht="15" customHeight="1" thickTop="1" thickBot="1" x14ac:dyDescent="0.25">
      <c r="F62" s="45"/>
      <c r="G62" s="537"/>
      <c r="H62" s="537"/>
      <c r="Q62" s="477"/>
      <c r="R62" s="482"/>
      <c r="V62" s="103" t="s">
        <v>493</v>
      </c>
      <c r="W62" s="104">
        <f>V61-W61</f>
        <v>0</v>
      </c>
      <c r="Z62" s="6"/>
      <c r="AA62" s="103" t="s">
        <v>493</v>
      </c>
      <c r="AB62" s="104">
        <f>AA61-AB61</f>
        <v>0</v>
      </c>
      <c r="AC62" s="4"/>
      <c r="AD62" s="4"/>
      <c r="AE62" s="4"/>
      <c r="AF62" s="103" t="s">
        <v>493</v>
      </c>
      <c r="AG62" s="106">
        <f>AF61-AG61</f>
        <v>0</v>
      </c>
      <c r="AH62" s="4"/>
      <c r="AI62" s="4"/>
      <c r="AJ62" s="4"/>
      <c r="AK62" s="103" t="s">
        <v>493</v>
      </c>
      <c r="AL62" s="104">
        <f>AL61-AK61</f>
        <v>0</v>
      </c>
    </row>
    <row r="63" spans="6:38" ht="15" customHeight="1" thickTop="1" x14ac:dyDescent="0.2">
      <c r="F63" s="45"/>
      <c r="G63" s="537"/>
      <c r="H63" s="537"/>
      <c r="L63" s="482"/>
      <c r="M63"/>
      <c r="R63"/>
      <c r="W63"/>
      <c r="Z63" s="6"/>
      <c r="AB63"/>
    </row>
    <row r="64" spans="6:38" ht="14.75" customHeight="1" thickBot="1" x14ac:dyDescent="0.25">
      <c r="F64" s="45"/>
      <c r="G64" s="537"/>
      <c r="H64" s="537"/>
      <c r="R64"/>
      <c r="V64" s="475"/>
      <c r="W64" s="475"/>
      <c r="Z64" s="6"/>
      <c r="AA64" s="3"/>
      <c r="AB64" s="3"/>
      <c r="AG64" s="1"/>
    </row>
    <row r="65" spans="6:38" ht="15" customHeight="1" x14ac:dyDescent="0.2">
      <c r="F65" s="45"/>
      <c r="G65" s="537"/>
      <c r="H65" s="537"/>
      <c r="Q65" s="562"/>
      <c r="R65" s="562"/>
      <c r="Z65" s="6"/>
      <c r="AA65" s="588" t="s">
        <v>357</v>
      </c>
      <c r="AB65" s="589"/>
      <c r="AE65" s="4"/>
      <c r="AF65" s="588" t="s">
        <v>358</v>
      </c>
      <c r="AG65" s="589"/>
      <c r="AH65" s="4"/>
      <c r="AI65" s="4"/>
      <c r="AJ65" s="4"/>
      <c r="AK65" s="588" t="s">
        <v>359</v>
      </c>
      <c r="AL65" s="589"/>
    </row>
    <row r="66" spans="6:38" ht="24.5" customHeight="1" x14ac:dyDescent="0.2">
      <c r="F66" s="45"/>
      <c r="G66" s="537"/>
      <c r="H66" s="537"/>
      <c r="Q66" s="563"/>
      <c r="R66" s="563"/>
      <c r="Z66" s="6"/>
      <c r="AA66" s="582" t="s">
        <v>300</v>
      </c>
      <c r="AB66" s="583"/>
      <c r="AC66" s="4"/>
      <c r="AD66" s="4"/>
      <c r="AE66" s="4"/>
      <c r="AF66" s="582" t="s">
        <v>349</v>
      </c>
      <c r="AG66" s="583"/>
      <c r="AH66" s="4"/>
      <c r="AI66" s="4"/>
      <c r="AJ66" s="4"/>
      <c r="AK66" s="582" t="s">
        <v>289</v>
      </c>
      <c r="AL66" s="583"/>
    </row>
    <row r="67" spans="6:38" ht="24" customHeight="1" thickBot="1" x14ac:dyDescent="0.25">
      <c r="F67" s="45"/>
      <c r="G67" s="537"/>
      <c r="H67" s="537"/>
      <c r="Q67" s="562"/>
      <c r="R67" s="562"/>
      <c r="Z67" s="7"/>
      <c r="AA67" s="584" t="s">
        <v>285</v>
      </c>
      <c r="AB67" s="585"/>
      <c r="AC67" s="480" t="s">
        <v>492</v>
      </c>
      <c r="AD67" s="486"/>
      <c r="AE67" s="481"/>
      <c r="AF67" s="584" t="s">
        <v>299</v>
      </c>
      <c r="AG67" s="585"/>
      <c r="AH67" s="211" t="s">
        <v>499</v>
      </c>
      <c r="AI67" s="486"/>
      <c r="AJ67" s="481"/>
      <c r="AK67" s="584" t="s">
        <v>88</v>
      </c>
      <c r="AL67" s="585"/>
    </row>
    <row r="68" spans="6:38" ht="27" thickTop="1" x14ac:dyDescent="0.2">
      <c r="F68" s="45"/>
      <c r="G68" s="537"/>
      <c r="H68" s="537"/>
      <c r="Q68" s="2"/>
      <c r="R68" s="2"/>
      <c r="Z68" s="5"/>
      <c r="AA68" s="96" t="s">
        <v>505</v>
      </c>
      <c r="AB68" s="97" t="s">
        <v>487</v>
      </c>
      <c r="AC68" s="11"/>
      <c r="AD68" s="11"/>
      <c r="AE68" s="11"/>
      <c r="AF68" s="478" t="s">
        <v>511</v>
      </c>
      <c r="AG68" s="84" t="s">
        <v>487</v>
      </c>
      <c r="AH68" s="11"/>
      <c r="AI68" s="11"/>
      <c r="AJ68" s="11"/>
      <c r="AK68" s="83" t="s">
        <v>482</v>
      </c>
      <c r="AL68" s="84" t="s">
        <v>511</v>
      </c>
    </row>
    <row r="69" spans="6:38" ht="14.75" customHeight="1" x14ac:dyDescent="0.2">
      <c r="F69" s="45"/>
      <c r="G69" s="537"/>
      <c r="H69" s="537"/>
      <c r="Q69" s="2"/>
      <c r="R69" s="2"/>
      <c r="Z69" s="6"/>
      <c r="AA69" s="96" t="s">
        <v>258</v>
      </c>
      <c r="AB69" s="97" t="s">
        <v>259</v>
      </c>
      <c r="AC69" s="4"/>
      <c r="AD69" s="4"/>
      <c r="AE69" s="4"/>
      <c r="AF69" s="83" t="s">
        <v>502</v>
      </c>
      <c r="AG69" s="84" t="s">
        <v>259</v>
      </c>
      <c r="AH69" s="4"/>
      <c r="AI69" s="4"/>
      <c r="AJ69" s="4"/>
      <c r="AK69" s="83" t="s">
        <v>258</v>
      </c>
      <c r="AL69" s="84" t="s">
        <v>259</v>
      </c>
    </row>
    <row r="70" spans="6:38" ht="15" customHeight="1" thickBot="1" x14ac:dyDescent="0.25">
      <c r="F70" s="45"/>
      <c r="G70" s="537"/>
      <c r="H70" s="537"/>
      <c r="Q70" s="99"/>
      <c r="R70" s="99"/>
      <c r="Z70" s="6"/>
      <c r="AA70" s="63">
        <f>VLOOKUP(AA65,'Экономический эффект'!$B$9:$F$179,4,FALSE)</f>
        <v>0</v>
      </c>
      <c r="AB70" s="64">
        <f>VLOOKUP(AA65,'Экономический эффект'!$B$9:$F$179,5,FALSE)</f>
        <v>0</v>
      </c>
      <c r="AC70" s="4"/>
      <c r="AD70" s="4"/>
      <c r="AE70" s="4"/>
      <c r="AF70" s="129">
        <f>VLOOKUP(AF65,'Экономический эффект'!$B$9:$F$179,4,FALSE)</f>
        <v>0</v>
      </c>
      <c r="AG70" s="130">
        <f>VLOOKUP(AF65,'Экономический эффект'!$B$9:$F$179,5,FALSE)</f>
        <v>0</v>
      </c>
      <c r="AH70" s="4"/>
      <c r="AI70" s="4"/>
      <c r="AJ70" s="4"/>
      <c r="AK70" s="131">
        <f>VLOOKUP(AK65,'Экономический эффект'!$B$9:$F$179,4,FALSE)</f>
        <v>0</v>
      </c>
      <c r="AL70" s="132">
        <f>VLOOKUP(AK65,'Экономический эффект'!$B$9:$F$179,5,FALSE)</f>
        <v>0</v>
      </c>
    </row>
    <row r="71" spans="6:38" ht="15" customHeight="1" thickTop="1" thickBot="1" x14ac:dyDescent="0.25">
      <c r="F71" s="45"/>
      <c r="G71" s="537"/>
      <c r="H71" s="537"/>
      <c r="Q71" s="477"/>
      <c r="R71" s="482"/>
      <c r="Z71" s="6"/>
      <c r="AA71" s="103" t="s">
        <v>493</v>
      </c>
      <c r="AB71" s="104">
        <f>AA70-AB70</f>
        <v>0</v>
      </c>
      <c r="AC71" s="4"/>
      <c r="AD71" s="4"/>
      <c r="AE71" s="4"/>
      <c r="AF71" s="103" t="s">
        <v>493</v>
      </c>
      <c r="AG71" s="106">
        <f>AF70-AG70</f>
        <v>0</v>
      </c>
      <c r="AH71" s="4"/>
      <c r="AI71" s="4"/>
      <c r="AJ71" s="4"/>
      <c r="AK71" s="103" t="s">
        <v>493</v>
      </c>
      <c r="AL71" s="104">
        <f>AL70-AK70</f>
        <v>0</v>
      </c>
    </row>
    <row r="72" spans="6:38" ht="15" customHeight="1" thickTop="1" x14ac:dyDescent="0.2">
      <c r="F72" s="45"/>
      <c r="G72" s="537"/>
      <c r="H72" s="537"/>
      <c r="L72" s="482"/>
      <c r="M72"/>
      <c r="R72"/>
      <c r="W72"/>
      <c r="Z72" s="6"/>
      <c r="AB72"/>
    </row>
    <row r="73" spans="6:38" ht="14.75" customHeight="1" thickBot="1" x14ac:dyDescent="0.25">
      <c r="F73" s="45"/>
      <c r="G73" s="537"/>
      <c r="H73" s="537"/>
      <c r="R73"/>
      <c r="V73" s="475"/>
      <c r="W73" s="475"/>
      <c r="Z73" s="6"/>
      <c r="AA73" s="3"/>
      <c r="AB73" s="3"/>
      <c r="AG73" s="1"/>
    </row>
    <row r="74" spans="6:38" ht="15" customHeight="1" x14ac:dyDescent="0.2">
      <c r="F74" s="45"/>
      <c r="G74" s="537"/>
      <c r="H74" s="537"/>
      <c r="Q74" s="562"/>
      <c r="R74" s="562"/>
      <c r="Z74" s="6"/>
      <c r="AA74" s="588" t="s">
        <v>360</v>
      </c>
      <c r="AB74" s="589"/>
      <c r="AE74" s="4"/>
      <c r="AF74" s="588" t="s">
        <v>361</v>
      </c>
      <c r="AG74" s="589"/>
      <c r="AH74" s="4"/>
      <c r="AI74" s="4"/>
      <c r="AJ74" s="4"/>
      <c r="AK74" s="588" t="s">
        <v>362</v>
      </c>
      <c r="AL74" s="589"/>
    </row>
    <row r="75" spans="6:38" ht="24.5" customHeight="1" x14ac:dyDescent="0.2">
      <c r="F75" s="45"/>
      <c r="G75" s="537"/>
      <c r="H75" s="537"/>
      <c r="Q75" s="563"/>
      <c r="R75" s="563"/>
      <c r="Z75" s="6"/>
      <c r="AA75" s="582" t="s">
        <v>295</v>
      </c>
      <c r="AB75" s="583"/>
      <c r="AC75" s="4"/>
      <c r="AD75" s="4"/>
      <c r="AE75" s="4"/>
      <c r="AF75" s="582" t="s">
        <v>349</v>
      </c>
      <c r="AG75" s="583"/>
      <c r="AH75" s="4"/>
      <c r="AI75" s="4"/>
      <c r="AJ75" s="4"/>
      <c r="AK75" s="582" t="s">
        <v>289</v>
      </c>
      <c r="AL75" s="583"/>
    </row>
    <row r="76" spans="6:38" ht="24" customHeight="1" thickBot="1" x14ac:dyDescent="0.25">
      <c r="F76" s="45"/>
      <c r="G76" s="537"/>
      <c r="H76" s="537"/>
      <c r="Q76" s="562"/>
      <c r="R76" s="562"/>
      <c r="Z76" s="7"/>
      <c r="AA76" s="584" t="s">
        <v>285</v>
      </c>
      <c r="AB76" s="585"/>
      <c r="AC76" s="480" t="s">
        <v>492</v>
      </c>
      <c r="AD76" s="486"/>
      <c r="AE76" s="481"/>
      <c r="AF76" s="584" t="s">
        <v>302</v>
      </c>
      <c r="AG76" s="585"/>
      <c r="AH76" s="211" t="s">
        <v>499</v>
      </c>
      <c r="AI76" s="486"/>
      <c r="AJ76" s="481"/>
      <c r="AK76" s="584" t="s">
        <v>93</v>
      </c>
      <c r="AL76" s="585"/>
    </row>
    <row r="77" spans="6:38" ht="27" thickTop="1" x14ac:dyDescent="0.2">
      <c r="F77" s="45"/>
      <c r="G77" s="537"/>
      <c r="H77" s="537"/>
      <c r="Q77" s="2"/>
      <c r="R77" s="2"/>
      <c r="AA77" s="96" t="s">
        <v>505</v>
      </c>
      <c r="AB77" s="97" t="s">
        <v>487</v>
      </c>
      <c r="AC77" s="11"/>
      <c r="AD77" s="11"/>
      <c r="AE77" s="11"/>
      <c r="AF77" s="478" t="s">
        <v>511</v>
      </c>
      <c r="AG77" s="84" t="s">
        <v>487</v>
      </c>
      <c r="AH77" s="11"/>
      <c r="AI77" s="11"/>
      <c r="AJ77" s="11"/>
      <c r="AK77" s="83" t="s">
        <v>482</v>
      </c>
      <c r="AL77" s="84" t="s">
        <v>511</v>
      </c>
    </row>
    <row r="78" spans="6:38" ht="14.75" customHeight="1" x14ac:dyDescent="0.2">
      <c r="F78" s="45"/>
      <c r="G78" s="537"/>
      <c r="H78" s="537"/>
      <c r="Q78" s="2"/>
      <c r="R78" s="2"/>
      <c r="AA78" s="96" t="s">
        <v>258</v>
      </c>
      <c r="AB78" s="97" t="s">
        <v>259</v>
      </c>
      <c r="AC78" s="4"/>
      <c r="AD78" s="4"/>
      <c r="AE78" s="4"/>
      <c r="AF78" s="83" t="s">
        <v>502</v>
      </c>
      <c r="AG78" s="84" t="s">
        <v>259</v>
      </c>
      <c r="AH78" s="4"/>
      <c r="AI78" s="4"/>
      <c r="AJ78" s="4"/>
      <c r="AK78" s="83" t="s">
        <v>258</v>
      </c>
      <c r="AL78" s="84" t="s">
        <v>259</v>
      </c>
    </row>
    <row r="79" spans="6:38" ht="15" customHeight="1" thickBot="1" x14ac:dyDescent="0.25">
      <c r="F79" s="45"/>
      <c r="G79" s="537"/>
      <c r="H79" s="537"/>
      <c r="Q79" s="99"/>
      <c r="R79" s="99"/>
      <c r="AA79" s="63">
        <f>VLOOKUP(AA74,'Экономический эффект'!$B$9:$F$179,4,FALSE)</f>
        <v>0</v>
      </c>
      <c r="AB79" s="64">
        <f>VLOOKUP(AA74,'Экономический эффект'!$B$9:$F$179,5,FALSE)</f>
        <v>0</v>
      </c>
      <c r="AC79" s="4"/>
      <c r="AD79" s="4"/>
      <c r="AE79" s="4"/>
      <c r="AF79" s="129">
        <f>VLOOKUP(AF74,'Экономический эффект'!$B$9:$F$179,4,FALSE)</f>
        <v>0</v>
      </c>
      <c r="AG79" s="130">
        <f>VLOOKUP(AF74,'Экономический эффект'!$B$9:$F$179,5,FALSE)</f>
        <v>0</v>
      </c>
      <c r="AH79" s="4"/>
      <c r="AI79" s="4"/>
      <c r="AJ79" s="4"/>
      <c r="AK79" s="131">
        <f>VLOOKUP(AK74,'Экономический эффект'!$B$9:$F$179,4,FALSE)</f>
        <v>0</v>
      </c>
      <c r="AL79" s="132">
        <f>VLOOKUP(AK74,'Экономический эффект'!$B$9:$F$179,5,FALSE)</f>
        <v>0</v>
      </c>
    </row>
    <row r="80" spans="6:38" ht="15" customHeight="1" thickTop="1" thickBot="1" x14ac:dyDescent="0.25">
      <c r="F80" s="45"/>
      <c r="G80" s="537"/>
      <c r="H80" s="537"/>
      <c r="Q80" s="477"/>
      <c r="R80" s="482"/>
      <c r="AA80" s="103" t="s">
        <v>493</v>
      </c>
      <c r="AB80" s="104">
        <f>AA79-AB79</f>
        <v>0</v>
      </c>
      <c r="AC80" s="4"/>
      <c r="AD80" s="4"/>
      <c r="AE80" s="4"/>
      <c r="AF80" s="103" t="s">
        <v>493</v>
      </c>
      <c r="AG80" s="106">
        <f>AF79-AG79</f>
        <v>0</v>
      </c>
      <c r="AH80" s="4"/>
      <c r="AI80" s="4"/>
      <c r="AJ80" s="4"/>
      <c r="AK80" s="103" t="s">
        <v>493</v>
      </c>
      <c r="AL80" s="104">
        <f>AL79-AK79</f>
        <v>0</v>
      </c>
    </row>
    <row r="81" spans="6:34" ht="15" customHeight="1" thickTop="1" x14ac:dyDescent="0.2">
      <c r="F81" s="45"/>
      <c r="G81" s="537"/>
      <c r="H81" s="537"/>
      <c r="L81" s="482"/>
      <c r="M81"/>
      <c r="R81"/>
      <c r="W81"/>
      <c r="AB81"/>
    </row>
    <row r="82" spans="6:34" ht="15.5" customHeight="1" thickBot="1" x14ac:dyDescent="0.25">
      <c r="F82" s="45"/>
      <c r="G82" s="537"/>
      <c r="H82" s="537"/>
    </row>
    <row r="83" spans="6:34" ht="16.25" customHeight="1" thickBot="1" x14ac:dyDescent="0.25">
      <c r="F83" s="45"/>
      <c r="G83" s="537"/>
      <c r="H83" s="537"/>
      <c r="I83" s="47"/>
      <c r="J83" s="47"/>
      <c r="K83" s="47"/>
      <c r="L83" s="47"/>
      <c r="M83" s="48"/>
      <c r="N83" s="47"/>
      <c r="O83" s="47"/>
      <c r="P83" s="47"/>
      <c r="Q83" s="47"/>
      <c r="R83" s="48"/>
      <c r="S83" s="47"/>
      <c r="T83" s="47"/>
      <c r="U83" s="47"/>
      <c r="V83" s="47"/>
      <c r="W83" s="48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</row>
    <row r="84" spans="6:34" ht="15.5" customHeight="1" thickTop="1" x14ac:dyDescent="0.2">
      <c r="F84" s="45"/>
      <c r="G84" s="537"/>
      <c r="H84" s="537"/>
      <c r="L84" s="549" t="s">
        <v>387</v>
      </c>
      <c r="M84" s="550"/>
      <c r="Q84" s="562"/>
      <c r="R84" s="562"/>
      <c r="S84" s="4"/>
      <c r="T84" s="4"/>
      <c r="U84" s="4"/>
      <c r="V84" s="562"/>
      <c r="W84" s="562"/>
      <c r="AA84" s="562"/>
      <c r="AB84" s="562"/>
      <c r="AC84" s="32"/>
      <c r="AD84" s="32"/>
      <c r="AE84" s="32"/>
      <c r="AF84" s="32"/>
      <c r="AG84" s="32"/>
      <c r="AH84" s="32"/>
    </row>
    <row r="85" spans="6:34" ht="27" customHeight="1" x14ac:dyDescent="0.2">
      <c r="F85" s="45"/>
      <c r="G85" s="537"/>
      <c r="H85" s="537"/>
      <c r="L85" s="533" t="s">
        <v>512</v>
      </c>
      <c r="M85" s="534"/>
      <c r="Q85" s="563"/>
      <c r="R85" s="563"/>
      <c r="S85" s="4"/>
      <c r="T85" s="4"/>
      <c r="U85" s="4"/>
      <c r="V85" s="563"/>
      <c r="W85" s="563"/>
      <c r="AA85" s="563"/>
      <c r="AB85" s="563"/>
      <c r="AC85" s="33"/>
      <c r="AD85" s="33"/>
      <c r="AE85" s="33"/>
      <c r="AF85" s="33"/>
      <c r="AG85" s="33"/>
      <c r="AH85" s="33"/>
    </row>
    <row r="86" spans="6:34" ht="19.25" customHeight="1" thickBot="1" x14ac:dyDescent="0.25">
      <c r="F86" s="45"/>
      <c r="G86" s="537"/>
      <c r="H86" s="537"/>
      <c r="L86" s="538" t="s">
        <v>236</v>
      </c>
      <c r="M86" s="539"/>
      <c r="N86" s="629"/>
      <c r="O86" s="537"/>
      <c r="Q86" s="562"/>
      <c r="R86" s="562"/>
      <c r="S86" s="537"/>
      <c r="T86" s="537"/>
      <c r="U86" s="537"/>
      <c r="V86" s="562"/>
      <c r="W86" s="562"/>
      <c r="X86" s="537"/>
      <c r="Y86" s="537"/>
      <c r="Z86" s="537"/>
      <c r="AA86" s="562"/>
      <c r="AB86" s="562"/>
      <c r="AC86" s="32"/>
      <c r="AD86" s="32"/>
      <c r="AE86" s="32"/>
      <c r="AF86" s="155"/>
      <c r="AG86" s="32"/>
      <c r="AH86" s="32"/>
    </row>
    <row r="87" spans="6:34" ht="26" customHeight="1" thickTop="1" x14ac:dyDescent="0.2">
      <c r="F87" s="45"/>
      <c r="G87" s="537"/>
      <c r="H87" s="537"/>
      <c r="K87" s="16"/>
      <c r="L87" s="139" t="s">
        <v>505</v>
      </c>
      <c r="M87" s="140" t="s">
        <v>488</v>
      </c>
      <c r="N87" s="17"/>
      <c r="Q87" s="2"/>
      <c r="R87" s="2"/>
      <c r="S87" s="4"/>
      <c r="T87" s="4"/>
      <c r="U87" s="4"/>
      <c r="V87" s="2"/>
      <c r="W87" s="2"/>
      <c r="AA87" s="2"/>
      <c r="AB87" s="2"/>
      <c r="AC87" s="32"/>
      <c r="AD87" s="32"/>
      <c r="AE87" s="32"/>
      <c r="AF87" s="155"/>
      <c r="AG87" s="32"/>
      <c r="AH87" s="32"/>
    </row>
    <row r="88" spans="6:34" ht="14.75" customHeight="1" x14ac:dyDescent="0.2">
      <c r="F88" s="45"/>
      <c r="G88" s="537"/>
      <c r="H88" s="537"/>
      <c r="K88" s="17"/>
      <c r="L88" s="139" t="s">
        <v>258</v>
      </c>
      <c r="M88" s="140" t="s">
        <v>259</v>
      </c>
      <c r="Q88" s="2"/>
      <c r="R88" s="2"/>
      <c r="S88" s="4"/>
      <c r="T88" s="4"/>
      <c r="U88" s="4"/>
      <c r="V88" s="2"/>
      <c r="W88" s="2"/>
      <c r="AA88" s="2"/>
      <c r="AB88" s="2"/>
      <c r="AC88" s="2"/>
      <c r="AD88" s="2"/>
      <c r="AE88" s="2"/>
      <c r="AF88" s="212"/>
      <c r="AG88" s="2"/>
      <c r="AH88" s="2"/>
    </row>
    <row r="89" spans="6:34" ht="14.75" customHeight="1" thickBot="1" x14ac:dyDescent="0.25">
      <c r="F89" s="45"/>
      <c r="G89" s="537"/>
      <c r="H89" s="537"/>
      <c r="K89" s="17"/>
      <c r="L89" s="65">
        <f>VLOOKUP(L84,'Экономический эффект'!$B$9:$F$179,4,FALSE)</f>
        <v>0</v>
      </c>
      <c r="M89" s="68">
        <f>VLOOKUP(L84,'Экономический эффект'!$B$9:$F$179,5,FALSE)</f>
        <v>0</v>
      </c>
      <c r="Q89" s="99"/>
      <c r="R89" s="99"/>
      <c r="S89" s="4"/>
      <c r="T89" s="4"/>
      <c r="U89" s="4"/>
      <c r="V89" s="99"/>
      <c r="W89" s="99"/>
      <c r="AA89" s="99"/>
      <c r="AB89" s="99"/>
      <c r="AC89" s="2"/>
      <c r="AD89" s="2"/>
      <c r="AE89" s="2"/>
      <c r="AF89" s="2"/>
      <c r="AG89" s="2"/>
      <c r="AH89" s="2"/>
    </row>
    <row r="90" spans="6:34" ht="15" customHeight="1" thickTop="1" thickBot="1" x14ac:dyDescent="0.25">
      <c r="F90" s="45"/>
      <c r="G90" s="537"/>
      <c r="H90" s="537"/>
      <c r="K90" s="152"/>
      <c r="L90" s="107" t="s">
        <v>493</v>
      </c>
      <c r="M90" s="108">
        <f>L89-M89</f>
        <v>0</v>
      </c>
      <c r="N90" s="17"/>
      <c r="Q90" s="477"/>
      <c r="R90" s="482"/>
      <c r="V90" s="477"/>
      <c r="W90" s="482"/>
      <c r="AA90" s="477"/>
      <c r="AB90" s="482"/>
    </row>
    <row r="91" spans="6:34" ht="15" customHeight="1" thickTop="1" thickBot="1" x14ac:dyDescent="0.25">
      <c r="F91" s="45"/>
      <c r="G91" s="537"/>
      <c r="H91" s="537"/>
      <c r="K91" s="17"/>
      <c r="L91" s="546" t="s">
        <v>506</v>
      </c>
      <c r="M91" s="546"/>
      <c r="Q91" s="477"/>
      <c r="R91" s="482"/>
      <c r="V91" s="477"/>
      <c r="W91" s="482"/>
      <c r="AA91" s="477"/>
      <c r="AB91" s="482"/>
    </row>
    <row r="92" spans="6:34" ht="15.5" customHeight="1" thickTop="1" x14ac:dyDescent="0.2">
      <c r="F92" s="45"/>
      <c r="G92" s="537"/>
      <c r="H92" s="537"/>
      <c r="K92" s="17"/>
      <c r="L92" s="537"/>
      <c r="M92" s="537"/>
      <c r="Q92" s="549" t="s">
        <v>400</v>
      </c>
      <c r="R92" s="550"/>
      <c r="V92" s="531" t="s">
        <v>401</v>
      </c>
      <c r="W92" s="532"/>
      <c r="X92" s="4"/>
      <c r="Y92" s="4"/>
      <c r="Z92" s="4"/>
      <c r="AA92" s="531" t="s">
        <v>403</v>
      </c>
      <c r="AB92" s="532"/>
      <c r="AC92" s="32"/>
      <c r="AD92" s="32"/>
      <c r="AE92" s="32"/>
      <c r="AF92" s="32"/>
      <c r="AG92" s="32"/>
      <c r="AH92" s="32"/>
    </row>
    <row r="93" spans="6:34" ht="27" customHeight="1" x14ac:dyDescent="0.2">
      <c r="F93" s="45"/>
      <c r="G93" s="537"/>
      <c r="H93" s="537"/>
      <c r="K93" s="17"/>
      <c r="L93" s="537"/>
      <c r="M93" s="537"/>
      <c r="Q93" s="533" t="s">
        <v>295</v>
      </c>
      <c r="R93" s="534"/>
      <c r="V93" s="535" t="s">
        <v>402</v>
      </c>
      <c r="W93" s="536"/>
      <c r="X93" s="4"/>
      <c r="Y93" s="4"/>
      <c r="Z93" s="4"/>
      <c r="AA93" s="535" t="s">
        <v>297</v>
      </c>
      <c r="AB93" s="536"/>
      <c r="AC93" s="33"/>
      <c r="AD93" s="33"/>
      <c r="AE93" s="33"/>
      <c r="AF93" s="33"/>
      <c r="AG93" s="33"/>
      <c r="AH93" s="33"/>
    </row>
    <row r="94" spans="6:34" ht="19.25" customHeight="1" thickBot="1" x14ac:dyDescent="0.25">
      <c r="F94" s="45"/>
      <c r="G94" s="537"/>
      <c r="H94" s="537"/>
      <c r="K94" s="17"/>
      <c r="L94" s="537"/>
      <c r="M94" s="537"/>
      <c r="N94" s="537"/>
      <c r="O94" s="537"/>
      <c r="Q94" s="538" t="s">
        <v>236</v>
      </c>
      <c r="R94" s="539"/>
      <c r="S94" s="540" t="s">
        <v>492</v>
      </c>
      <c r="T94" s="541"/>
      <c r="U94" s="542"/>
      <c r="V94" s="543" t="s">
        <v>79</v>
      </c>
      <c r="W94" s="544"/>
      <c r="X94" s="545" t="s">
        <v>499</v>
      </c>
      <c r="Y94" s="541"/>
      <c r="Z94" s="542"/>
      <c r="AA94" s="543" t="s">
        <v>82</v>
      </c>
      <c r="AB94" s="544"/>
      <c r="AC94" s="32"/>
      <c r="AD94" s="32"/>
      <c r="AE94" s="32"/>
      <c r="AF94" s="32"/>
      <c r="AG94" s="32"/>
      <c r="AH94" s="32"/>
    </row>
    <row r="95" spans="6:34" ht="26" customHeight="1" thickTop="1" x14ac:dyDescent="0.2">
      <c r="F95" s="45"/>
      <c r="G95" s="537"/>
      <c r="H95" s="537"/>
      <c r="K95" s="17"/>
      <c r="L95" s="537"/>
      <c r="M95" s="537"/>
      <c r="P95" s="16"/>
      <c r="Q95" s="139" t="s">
        <v>505</v>
      </c>
      <c r="R95" s="140"/>
      <c r="S95" s="20"/>
      <c r="T95" s="21"/>
      <c r="U95" s="21"/>
      <c r="V95" s="543"/>
      <c r="W95" s="544"/>
      <c r="X95" s="15"/>
      <c r="Y95" s="15"/>
      <c r="Z95" s="15"/>
      <c r="AA95" s="476"/>
      <c r="AB95" s="138"/>
      <c r="AC95" s="32"/>
      <c r="AD95" s="32"/>
      <c r="AE95" s="32"/>
      <c r="AF95" s="32"/>
      <c r="AG95" s="32"/>
      <c r="AH95" s="32"/>
    </row>
    <row r="96" spans="6:34" ht="14.75" customHeight="1" x14ac:dyDescent="0.2">
      <c r="F96" s="45"/>
      <c r="G96" s="537"/>
      <c r="H96" s="537"/>
      <c r="K96" s="17"/>
      <c r="L96" s="537"/>
      <c r="M96" s="537"/>
      <c r="P96" s="17"/>
      <c r="Q96" s="139" t="s">
        <v>258</v>
      </c>
      <c r="R96" s="140" t="s">
        <v>259</v>
      </c>
      <c r="V96" s="137" t="s">
        <v>258</v>
      </c>
      <c r="W96" s="138" t="s">
        <v>259</v>
      </c>
      <c r="X96" s="4"/>
      <c r="Y96" s="4"/>
      <c r="Z96" s="4"/>
      <c r="AA96" s="137" t="s">
        <v>258</v>
      </c>
      <c r="AB96" s="138" t="s">
        <v>259</v>
      </c>
      <c r="AC96" s="2"/>
      <c r="AD96" s="2"/>
      <c r="AE96" s="2"/>
      <c r="AF96" s="2"/>
      <c r="AG96" s="2"/>
      <c r="AH96" s="2"/>
    </row>
    <row r="97" spans="6:34" ht="14.75" customHeight="1" thickBot="1" x14ac:dyDescent="0.25">
      <c r="F97" s="45"/>
      <c r="G97" s="537"/>
      <c r="H97" s="537"/>
      <c r="K97" s="17"/>
      <c r="L97" s="537"/>
      <c r="M97" s="537"/>
      <c r="P97" s="17"/>
      <c r="Q97" s="65">
        <f>VLOOKUP(Q92,'Экономический эффект'!$B$9:$F$179,4,FALSE)</f>
        <v>0</v>
      </c>
      <c r="R97" s="66">
        <f>VLOOKUP(Q92,'Экономический эффект'!$B$9:$F$179,5,FALSE)</f>
        <v>0</v>
      </c>
      <c r="V97" s="67">
        <f>VLOOKUP(V92,'Экономический эффект'!$B$9:$F$179,4,FALSE)</f>
        <v>0</v>
      </c>
      <c r="W97" s="68">
        <f>VLOOKUP(V92,'Экономический эффект'!$B$9:$F$179,5,FALSE)</f>
        <v>0</v>
      </c>
      <c r="X97" s="4"/>
      <c r="Y97" s="4"/>
      <c r="Z97" s="4"/>
      <c r="AA97" s="67">
        <f>VLOOKUP(AA92,'Экономический эффект'!$B$9:$F$179,4,FALSE)</f>
        <v>0</v>
      </c>
      <c r="AB97" s="68">
        <f>VLOOKUP(AA92,'Экономический эффект'!$B$9:$F$179,5,FALSE)</f>
        <v>0</v>
      </c>
      <c r="AC97" s="2"/>
      <c r="AD97" s="2"/>
      <c r="AE97" s="2"/>
      <c r="AF97" s="2"/>
      <c r="AG97" s="2"/>
      <c r="AH97" s="2"/>
    </row>
    <row r="98" spans="6:34" ht="15" customHeight="1" thickTop="1" thickBot="1" x14ac:dyDescent="0.25">
      <c r="F98" s="45"/>
      <c r="G98" s="537"/>
      <c r="H98" s="537"/>
      <c r="K98" s="17"/>
      <c r="L98" s="537"/>
      <c r="M98" s="537"/>
      <c r="P98" s="17"/>
      <c r="Q98" s="153" t="s">
        <v>493</v>
      </c>
      <c r="R98" s="154">
        <f>Q97-R97</f>
        <v>0</v>
      </c>
      <c r="V98" s="107" t="s">
        <v>493</v>
      </c>
      <c r="W98" s="108">
        <f>V97-W97</f>
        <v>0</v>
      </c>
      <c r="AA98" s="107" t="s">
        <v>493</v>
      </c>
      <c r="AB98" s="108">
        <f>AB97-AA97</f>
        <v>0</v>
      </c>
    </row>
    <row r="99" spans="6:34" ht="16.25" customHeight="1" thickTop="1" thickBot="1" x14ac:dyDescent="0.25">
      <c r="F99" s="45"/>
      <c r="G99" s="537"/>
      <c r="H99" s="537"/>
      <c r="K99" s="17"/>
      <c r="L99" s="537"/>
      <c r="M99" s="537"/>
      <c r="P99" s="17"/>
      <c r="Q99" s="548" t="s">
        <v>506</v>
      </c>
      <c r="R99" s="548"/>
      <c r="AB99"/>
    </row>
    <row r="100" spans="6:34" ht="15.5" customHeight="1" thickTop="1" x14ac:dyDescent="0.2">
      <c r="F100" s="45"/>
      <c r="G100" s="537"/>
      <c r="H100" s="537"/>
      <c r="K100" s="17"/>
      <c r="L100" s="537"/>
      <c r="M100" s="537"/>
      <c r="P100" s="17"/>
      <c r="Q100" s="549" t="s">
        <v>405</v>
      </c>
      <c r="R100" s="550"/>
      <c r="V100" s="531" t="s">
        <v>406</v>
      </c>
      <c r="W100" s="532"/>
      <c r="X100" s="4"/>
      <c r="Y100" s="4"/>
      <c r="Z100" s="4"/>
      <c r="AA100" s="531" t="s">
        <v>407</v>
      </c>
      <c r="AB100" s="532"/>
      <c r="AC100" s="32"/>
      <c r="AD100" s="32"/>
      <c r="AE100" s="32"/>
      <c r="AF100" s="32"/>
      <c r="AG100" s="32"/>
      <c r="AH100" s="32"/>
    </row>
    <row r="101" spans="6:34" ht="27" customHeight="1" x14ac:dyDescent="0.2">
      <c r="F101" s="45"/>
      <c r="G101" s="537"/>
      <c r="H101" s="537"/>
      <c r="K101" s="17"/>
      <c r="L101" s="537"/>
      <c r="M101" s="537"/>
      <c r="P101" s="17"/>
      <c r="Q101" s="533" t="s">
        <v>298</v>
      </c>
      <c r="R101" s="534"/>
      <c r="V101" s="535" t="s">
        <v>402</v>
      </c>
      <c r="W101" s="536"/>
      <c r="X101" s="4"/>
      <c r="Y101" s="4"/>
      <c r="Z101" s="4"/>
      <c r="AA101" s="535" t="s">
        <v>297</v>
      </c>
      <c r="AB101" s="536"/>
      <c r="AC101" s="33"/>
      <c r="AD101" s="33"/>
      <c r="AE101" s="33"/>
      <c r="AF101" s="33"/>
      <c r="AG101" s="33"/>
      <c r="AH101" s="33"/>
    </row>
    <row r="102" spans="6:34" ht="19.25" customHeight="1" thickBot="1" x14ac:dyDescent="0.25">
      <c r="F102" s="45"/>
      <c r="G102" s="537"/>
      <c r="H102" s="537"/>
      <c r="K102" s="17"/>
      <c r="L102" s="537"/>
      <c r="M102" s="537"/>
      <c r="N102" s="537"/>
      <c r="O102" s="537"/>
      <c r="P102" s="18"/>
      <c r="Q102" s="538" t="s">
        <v>236</v>
      </c>
      <c r="R102" s="539"/>
      <c r="S102" s="540" t="s">
        <v>492</v>
      </c>
      <c r="T102" s="541"/>
      <c r="U102" s="542"/>
      <c r="V102" s="543" t="s">
        <v>86</v>
      </c>
      <c r="W102" s="544"/>
      <c r="X102" s="545" t="s">
        <v>499</v>
      </c>
      <c r="Y102" s="541"/>
      <c r="Z102" s="542"/>
      <c r="AA102" s="543" t="s">
        <v>408</v>
      </c>
      <c r="AB102" s="544"/>
      <c r="AC102" s="32"/>
      <c r="AD102" s="32"/>
      <c r="AE102" s="32"/>
      <c r="AF102" s="32"/>
      <c r="AG102" s="32"/>
      <c r="AH102" s="32"/>
    </row>
    <row r="103" spans="6:34" ht="26" customHeight="1" thickTop="1" x14ac:dyDescent="0.2">
      <c r="F103" s="45"/>
      <c r="G103" s="537"/>
      <c r="H103" s="537"/>
      <c r="K103" s="17"/>
      <c r="L103" s="537"/>
      <c r="M103" s="537"/>
      <c r="P103" s="16"/>
      <c r="Q103" s="139" t="s">
        <v>505</v>
      </c>
      <c r="R103" s="140"/>
      <c r="S103" s="20"/>
      <c r="T103" s="21"/>
      <c r="U103" s="21"/>
      <c r="V103" s="543"/>
      <c r="W103" s="544"/>
      <c r="X103" s="15"/>
      <c r="Y103" s="15"/>
      <c r="Z103" s="15"/>
      <c r="AA103" s="476"/>
      <c r="AB103" s="138"/>
      <c r="AC103" s="32"/>
      <c r="AD103" s="32"/>
      <c r="AE103" s="32"/>
      <c r="AF103" s="32"/>
      <c r="AG103" s="32"/>
      <c r="AH103" s="32"/>
    </row>
    <row r="104" spans="6:34" ht="14.75" customHeight="1" x14ac:dyDescent="0.2">
      <c r="F104" s="45"/>
      <c r="G104" s="537"/>
      <c r="H104" s="537"/>
      <c r="K104" s="17"/>
      <c r="L104" s="537"/>
      <c r="M104" s="537"/>
      <c r="P104" s="17"/>
      <c r="Q104" s="139" t="s">
        <v>258</v>
      </c>
      <c r="R104" s="140" t="s">
        <v>259</v>
      </c>
      <c r="V104" s="137" t="s">
        <v>258</v>
      </c>
      <c r="W104" s="138" t="s">
        <v>259</v>
      </c>
      <c r="X104" s="4"/>
      <c r="Y104" s="4"/>
      <c r="Z104" s="4"/>
      <c r="AA104" s="137" t="s">
        <v>258</v>
      </c>
      <c r="AB104" s="138" t="s">
        <v>259</v>
      </c>
      <c r="AC104" s="2"/>
      <c r="AD104" s="2"/>
      <c r="AE104" s="2"/>
      <c r="AF104" s="2"/>
      <c r="AG104" s="2"/>
      <c r="AH104" s="2"/>
    </row>
    <row r="105" spans="6:34" ht="14.75" customHeight="1" thickBot="1" x14ac:dyDescent="0.25">
      <c r="F105" s="45"/>
      <c r="G105" s="537"/>
      <c r="H105" s="537"/>
      <c r="K105" s="17"/>
      <c r="L105" s="537"/>
      <c r="M105" s="537"/>
      <c r="P105" s="17"/>
      <c r="Q105" s="65">
        <f>VLOOKUP(Q100,'Экономический эффект'!$B$9:$F$179,4,FALSE)</f>
        <v>0</v>
      </c>
      <c r="R105" s="66">
        <f>VLOOKUP(Q100,'Экономический эффект'!$B$9:$F$179,5,FALSE)</f>
        <v>0</v>
      </c>
      <c r="V105" s="67">
        <f>VLOOKUP(V100,'Экономический эффект'!$B$9:$F$179,4,FALSE)</f>
        <v>0</v>
      </c>
      <c r="W105" s="68">
        <f>VLOOKUP(V100,'Экономический эффект'!$B$9:$F$179,5,FALSE)</f>
        <v>0</v>
      </c>
      <c r="X105" s="4"/>
      <c r="Y105" s="4"/>
      <c r="Z105" s="4"/>
      <c r="AA105" s="67">
        <f>VLOOKUP(AA100,'Экономический эффект'!$B$9:$F$179,4,FALSE)</f>
        <v>0</v>
      </c>
      <c r="AB105" s="68">
        <f>VLOOKUP(AA100,'Экономический эффект'!$B$9:$F$179,5,FALSE)</f>
        <v>0</v>
      </c>
      <c r="AC105" s="2"/>
      <c r="AD105" s="2"/>
      <c r="AE105" s="2"/>
      <c r="AF105" s="2"/>
      <c r="AG105" s="2"/>
      <c r="AH105" s="2"/>
    </row>
    <row r="106" spans="6:34" ht="15" customHeight="1" thickTop="1" thickBot="1" x14ac:dyDescent="0.25">
      <c r="F106" s="45"/>
      <c r="G106" s="537"/>
      <c r="H106" s="537"/>
      <c r="K106" s="17"/>
      <c r="L106" s="537"/>
      <c r="M106" s="537"/>
      <c r="P106" s="17"/>
      <c r="Q106" s="153" t="s">
        <v>493</v>
      </c>
      <c r="R106" s="154">
        <f>Q105-R105</f>
        <v>0</v>
      </c>
      <c r="V106" s="107" t="s">
        <v>493</v>
      </c>
      <c r="W106" s="108">
        <f>V105-W105</f>
        <v>0</v>
      </c>
      <c r="AA106" s="107" t="s">
        <v>493</v>
      </c>
      <c r="AB106" s="108">
        <f>AB105-AA105</f>
        <v>0</v>
      </c>
    </row>
    <row r="107" spans="6:34" ht="16.25" customHeight="1" thickTop="1" thickBot="1" x14ac:dyDescent="0.25">
      <c r="F107" s="45"/>
      <c r="G107" s="537"/>
      <c r="H107" s="537"/>
      <c r="K107" s="17"/>
      <c r="L107" s="547"/>
      <c r="M107" s="547"/>
      <c r="P107" s="17"/>
      <c r="Q107" s="548" t="s">
        <v>506</v>
      </c>
      <c r="R107" s="548"/>
      <c r="AB107"/>
    </row>
    <row r="108" spans="6:34" ht="15.5" customHeight="1" thickTop="1" x14ac:dyDescent="0.2">
      <c r="F108" s="45"/>
      <c r="G108" s="537"/>
      <c r="H108" s="537"/>
      <c r="K108" s="17"/>
      <c r="L108" s="549" t="s">
        <v>398</v>
      </c>
      <c r="M108" s="550"/>
      <c r="P108" s="17"/>
      <c r="Q108" s="549" t="s">
        <v>409</v>
      </c>
      <c r="R108" s="550"/>
      <c r="V108" s="531" t="s">
        <v>410</v>
      </c>
      <c r="W108" s="532"/>
      <c r="X108" s="4"/>
      <c r="Y108" s="4"/>
      <c r="Z108" s="4"/>
      <c r="AA108" s="531" t="s">
        <v>411</v>
      </c>
      <c r="AB108" s="532"/>
      <c r="AC108" s="32"/>
      <c r="AD108" s="32"/>
      <c r="AE108" s="32"/>
      <c r="AF108" s="32"/>
      <c r="AG108" s="32"/>
      <c r="AH108" s="32"/>
    </row>
    <row r="109" spans="6:34" ht="27" customHeight="1" x14ac:dyDescent="0.2">
      <c r="F109" s="45"/>
      <c r="G109" s="537"/>
      <c r="H109" s="537"/>
      <c r="K109" s="17"/>
      <c r="L109" s="533" t="s">
        <v>399</v>
      </c>
      <c r="M109" s="534"/>
      <c r="P109" s="17"/>
      <c r="Q109" s="533" t="s">
        <v>300</v>
      </c>
      <c r="R109" s="534"/>
      <c r="V109" s="535" t="s">
        <v>402</v>
      </c>
      <c r="W109" s="536"/>
      <c r="X109" s="4"/>
      <c r="Y109" s="4"/>
      <c r="Z109" s="4"/>
      <c r="AA109" s="535" t="s">
        <v>297</v>
      </c>
      <c r="AB109" s="536"/>
      <c r="AC109" s="33"/>
      <c r="AD109" s="33"/>
      <c r="AE109" s="33"/>
      <c r="AF109" s="33"/>
      <c r="AG109" s="33"/>
      <c r="AH109" s="33"/>
    </row>
    <row r="110" spans="6:34" ht="19.25" customHeight="1" thickBot="1" x14ac:dyDescent="0.25">
      <c r="F110" s="45"/>
      <c r="G110" s="537"/>
      <c r="H110" s="537"/>
      <c r="K110" s="18"/>
      <c r="L110" s="538" t="s">
        <v>236</v>
      </c>
      <c r="M110" s="539"/>
      <c r="N110" s="551" t="s">
        <v>492</v>
      </c>
      <c r="O110" s="547"/>
      <c r="P110" s="18"/>
      <c r="Q110" s="538" t="s">
        <v>236</v>
      </c>
      <c r="R110" s="539"/>
      <c r="S110" s="540" t="s">
        <v>492</v>
      </c>
      <c r="T110" s="541"/>
      <c r="U110" s="542"/>
      <c r="V110" s="543" t="s">
        <v>86</v>
      </c>
      <c r="W110" s="544"/>
      <c r="X110" s="545" t="s">
        <v>499</v>
      </c>
      <c r="Y110" s="541"/>
      <c r="Z110" s="542"/>
      <c r="AA110" s="543" t="s">
        <v>408</v>
      </c>
      <c r="AB110" s="544"/>
      <c r="AC110" s="32"/>
      <c r="AD110" s="32"/>
      <c r="AE110" s="32"/>
      <c r="AF110" s="32"/>
      <c r="AG110" s="32"/>
      <c r="AH110" s="32"/>
    </row>
    <row r="111" spans="6:34" ht="26" customHeight="1" thickTop="1" x14ac:dyDescent="0.2">
      <c r="F111" s="45"/>
      <c r="G111" s="537"/>
      <c r="H111" s="537"/>
      <c r="K111" s="16"/>
      <c r="L111" s="139" t="s">
        <v>505</v>
      </c>
      <c r="M111" s="140"/>
      <c r="N111" s="16"/>
      <c r="O111" s="22"/>
      <c r="P111" s="16"/>
      <c r="Q111" s="139" t="s">
        <v>505</v>
      </c>
      <c r="R111" s="140"/>
      <c r="S111" s="20"/>
      <c r="T111" s="21"/>
      <c r="U111" s="21"/>
      <c r="V111" s="543"/>
      <c r="W111" s="544"/>
      <c r="X111" s="15"/>
      <c r="Y111" s="15"/>
      <c r="Z111" s="15"/>
      <c r="AA111" s="476"/>
      <c r="AB111" s="138"/>
      <c r="AC111" s="32"/>
      <c r="AD111" s="32"/>
      <c r="AE111" s="32"/>
      <c r="AF111" s="32"/>
      <c r="AG111" s="32"/>
      <c r="AH111" s="32"/>
    </row>
    <row r="112" spans="6:34" ht="14.75" customHeight="1" x14ac:dyDescent="0.2">
      <c r="F112" s="45"/>
      <c r="G112" s="537"/>
      <c r="H112" s="537"/>
      <c r="K112" s="17"/>
      <c r="L112" s="139" t="s">
        <v>258</v>
      </c>
      <c r="M112" s="140" t="s">
        <v>259</v>
      </c>
      <c r="P112" s="17"/>
      <c r="Q112" s="139" t="s">
        <v>258</v>
      </c>
      <c r="R112" s="140" t="s">
        <v>259</v>
      </c>
      <c r="V112" s="137" t="s">
        <v>258</v>
      </c>
      <c r="W112" s="138" t="s">
        <v>259</v>
      </c>
      <c r="X112" s="4"/>
      <c r="Y112" s="4"/>
      <c r="Z112" s="4"/>
      <c r="AA112" s="137" t="s">
        <v>258</v>
      </c>
      <c r="AB112" s="138" t="s">
        <v>259</v>
      </c>
      <c r="AC112" s="2"/>
      <c r="AD112" s="2"/>
      <c r="AE112" s="2"/>
      <c r="AF112" s="2"/>
      <c r="AG112" s="2"/>
      <c r="AH112" s="2"/>
    </row>
    <row r="113" spans="1:34" ht="14.75" customHeight="1" thickBot="1" x14ac:dyDescent="0.25">
      <c r="F113" s="45"/>
      <c r="G113" s="537"/>
      <c r="H113" s="537"/>
      <c r="K113" s="17"/>
      <c r="L113" s="65">
        <f>VLOOKUP(L108,'Экономический эффект'!$B$9:$F$179,4,FALSE)</f>
        <v>0</v>
      </c>
      <c r="M113" s="68">
        <f>VLOOKUP(L108,'Экономический эффект'!$B$9:$F$179,5,FALSE)</f>
        <v>0</v>
      </c>
      <c r="P113" s="17"/>
      <c r="Q113" s="65">
        <f>VLOOKUP(Q108,'Экономический эффект'!$B$9:$F$179,4,FALSE)</f>
        <v>0</v>
      </c>
      <c r="R113" s="66">
        <f>VLOOKUP(Q108,'Экономический эффект'!$B$9:$F$179,5,FALSE)</f>
        <v>0</v>
      </c>
      <c r="V113" s="67">
        <f>VLOOKUP(V108,'Экономический эффект'!$B$9:$F$179,4,FALSE)</f>
        <v>0</v>
      </c>
      <c r="W113" s="68">
        <f>VLOOKUP(V108,'Экономический эффект'!$B$9:$F$179,5,FALSE)</f>
        <v>0</v>
      </c>
      <c r="X113" s="4"/>
      <c r="Y113" s="4"/>
      <c r="Z113" s="4"/>
      <c r="AA113" s="67">
        <f>VLOOKUP(AA108,'Экономический эффект'!$B$9:$F$179,4,FALSE)</f>
        <v>0</v>
      </c>
      <c r="AB113" s="68">
        <f>VLOOKUP(AA108,'Экономический эффект'!$B$9:$F$179,5,FALSE)</f>
        <v>0</v>
      </c>
      <c r="AC113" s="2"/>
      <c r="AD113" s="2"/>
      <c r="AE113" s="2"/>
      <c r="AF113" s="2"/>
      <c r="AG113" s="2"/>
      <c r="AH113" s="2"/>
    </row>
    <row r="114" spans="1:34" ht="15" customHeight="1" thickTop="1" thickBot="1" x14ac:dyDescent="0.25">
      <c r="F114" s="45"/>
      <c r="G114" s="537"/>
      <c r="H114" s="537"/>
      <c r="K114" s="152"/>
      <c r="L114" s="107" t="s">
        <v>493</v>
      </c>
      <c r="M114" s="108">
        <f>L113-M113</f>
        <v>0</v>
      </c>
      <c r="N114" s="17"/>
      <c r="P114" s="17"/>
      <c r="Q114" s="107" t="s">
        <v>493</v>
      </c>
      <c r="R114" s="108">
        <f>Q113-R113</f>
        <v>0</v>
      </c>
      <c r="V114" s="107" t="s">
        <v>493</v>
      </c>
      <c r="W114" s="108">
        <f>V113-W113</f>
        <v>0</v>
      </c>
      <c r="AA114" s="107" t="s">
        <v>493</v>
      </c>
      <c r="AB114" s="108">
        <f>AB113-AA113</f>
        <v>0</v>
      </c>
    </row>
    <row r="115" spans="1:34" ht="16.25" customHeight="1" thickTop="1" thickBot="1" x14ac:dyDescent="0.25">
      <c r="F115" s="45"/>
      <c r="G115" s="537"/>
      <c r="H115" s="537"/>
      <c r="K115" s="17"/>
      <c r="L115" s="546" t="s">
        <v>506</v>
      </c>
      <c r="M115" s="546"/>
      <c r="P115" s="17"/>
      <c r="Q115" s="548" t="s">
        <v>506</v>
      </c>
      <c r="R115" s="548"/>
      <c r="AB115"/>
    </row>
    <row r="116" spans="1:34" ht="15.5" customHeight="1" thickTop="1" x14ac:dyDescent="0.2">
      <c r="F116" s="45"/>
      <c r="G116" s="537"/>
      <c r="H116" s="537"/>
      <c r="K116" s="17"/>
      <c r="L116" s="537"/>
      <c r="M116" s="537"/>
      <c r="P116" s="17"/>
      <c r="Q116" s="549" t="s">
        <v>412</v>
      </c>
      <c r="R116" s="550"/>
      <c r="V116" s="531" t="s">
        <v>414</v>
      </c>
      <c r="W116" s="532"/>
      <c r="X116" s="4"/>
      <c r="Y116" s="4"/>
      <c r="Z116" s="4"/>
      <c r="AA116" s="531" t="s">
        <v>414</v>
      </c>
      <c r="AB116" s="532"/>
      <c r="AC116" s="32"/>
      <c r="AD116" s="32"/>
      <c r="AE116" s="32"/>
      <c r="AF116" s="32"/>
      <c r="AG116" s="32"/>
      <c r="AH116" s="32"/>
    </row>
    <row r="117" spans="1:34" ht="27" customHeight="1" x14ac:dyDescent="0.2">
      <c r="F117" s="45"/>
      <c r="G117" s="537"/>
      <c r="H117" s="537"/>
      <c r="K117" s="17"/>
      <c r="L117" s="537"/>
      <c r="M117" s="537"/>
      <c r="P117" s="17"/>
      <c r="Q117" s="533" t="s">
        <v>413</v>
      </c>
      <c r="R117" s="534"/>
      <c r="V117" s="535" t="s">
        <v>402</v>
      </c>
      <c r="W117" s="536"/>
      <c r="X117" s="4"/>
      <c r="Y117" s="4"/>
      <c r="Z117" s="4"/>
      <c r="AA117" s="535" t="s">
        <v>297</v>
      </c>
      <c r="AB117" s="536"/>
      <c r="AC117" s="33"/>
      <c r="AD117" s="33"/>
      <c r="AE117" s="33"/>
      <c r="AF117" s="33"/>
      <c r="AG117" s="33"/>
      <c r="AH117" s="33"/>
    </row>
    <row r="118" spans="1:34" ht="19.25" customHeight="1" thickBot="1" x14ac:dyDescent="0.25">
      <c r="F118" s="45"/>
      <c r="G118" s="537"/>
      <c r="H118" s="537"/>
      <c r="K118" s="17"/>
      <c r="L118" s="537"/>
      <c r="M118" s="537"/>
      <c r="N118" s="537"/>
      <c r="O118" s="537"/>
      <c r="P118" s="18"/>
      <c r="Q118" s="538" t="s">
        <v>236</v>
      </c>
      <c r="R118" s="539"/>
      <c r="S118" s="540" t="s">
        <v>492</v>
      </c>
      <c r="T118" s="541"/>
      <c r="U118" s="542"/>
      <c r="V118" s="543" t="s">
        <v>91</v>
      </c>
      <c r="W118" s="544"/>
      <c r="X118" s="545" t="s">
        <v>499</v>
      </c>
      <c r="Y118" s="541"/>
      <c r="Z118" s="542"/>
      <c r="AA118" s="543" t="s">
        <v>93</v>
      </c>
      <c r="AB118" s="544"/>
      <c r="AC118" s="32"/>
      <c r="AD118" s="32"/>
      <c r="AE118" s="32"/>
      <c r="AF118" s="32"/>
      <c r="AG118" s="32"/>
      <c r="AH118" s="32"/>
    </row>
    <row r="119" spans="1:34" ht="26" customHeight="1" thickTop="1" x14ac:dyDescent="0.2">
      <c r="F119" s="45"/>
      <c r="G119" s="537"/>
      <c r="H119" s="537"/>
      <c r="K119" s="17"/>
      <c r="L119" s="537"/>
      <c r="M119" s="537"/>
      <c r="Q119" s="139" t="s">
        <v>505</v>
      </c>
      <c r="R119" s="140"/>
      <c r="S119" s="20"/>
      <c r="T119" s="21"/>
      <c r="U119" s="21"/>
      <c r="V119" s="543"/>
      <c r="W119" s="544"/>
      <c r="X119" s="15"/>
      <c r="Y119" s="15"/>
      <c r="Z119" s="15"/>
      <c r="AA119" s="476"/>
      <c r="AB119" s="138"/>
      <c r="AC119" s="32"/>
      <c r="AD119" s="32"/>
      <c r="AE119" s="32"/>
      <c r="AF119" s="32"/>
      <c r="AG119" s="32"/>
      <c r="AH119" s="32"/>
    </row>
    <row r="120" spans="1:34" ht="14.75" customHeight="1" x14ac:dyDescent="0.2">
      <c r="F120" s="45"/>
      <c r="G120" s="537"/>
      <c r="H120" s="537"/>
      <c r="K120" s="17"/>
      <c r="L120" s="537"/>
      <c r="M120" s="537"/>
      <c r="Q120" s="139" t="s">
        <v>258</v>
      </c>
      <c r="R120" s="140" t="s">
        <v>259</v>
      </c>
      <c r="V120" s="137" t="s">
        <v>258</v>
      </c>
      <c r="W120" s="138" t="s">
        <v>259</v>
      </c>
      <c r="X120" s="4"/>
      <c r="Y120" s="4"/>
      <c r="Z120" s="4"/>
      <c r="AA120" s="137" t="s">
        <v>258</v>
      </c>
      <c r="AB120" s="138" t="s">
        <v>259</v>
      </c>
      <c r="AC120" s="2"/>
      <c r="AD120" s="2"/>
      <c r="AE120" s="2"/>
      <c r="AF120" s="2"/>
      <c r="AG120" s="2"/>
      <c r="AH120" s="2"/>
    </row>
    <row r="121" spans="1:34" ht="14.75" customHeight="1" thickBot="1" x14ac:dyDescent="0.25">
      <c r="F121" s="45"/>
      <c r="G121" s="537"/>
      <c r="H121" s="537"/>
      <c r="K121" s="17"/>
      <c r="L121" s="537"/>
      <c r="M121" s="537"/>
      <c r="Q121" s="65">
        <f>VLOOKUP(Q116,'Экономический эффект'!$B$9:$F$179,4,FALSE)</f>
        <v>0</v>
      </c>
      <c r="R121" s="66">
        <f>VLOOKUP(Q116,'Экономический эффект'!$B$9:$F$179,5,FALSE)</f>
        <v>0</v>
      </c>
      <c r="V121" s="67">
        <f>VLOOKUP(V116,'Экономический эффект'!$B$9:$F$179,4,FALSE)</f>
        <v>0</v>
      </c>
      <c r="W121" s="68">
        <f>VLOOKUP(V116,'Экономический эффект'!$B$9:$F$179,5,FALSE)</f>
        <v>0</v>
      </c>
      <c r="X121" s="4"/>
      <c r="Y121" s="4"/>
      <c r="Z121" s="4"/>
      <c r="AA121" s="67">
        <f>VLOOKUP(AA116,'Экономический эффект'!$B$9:$F$179,4,FALSE)</f>
        <v>0</v>
      </c>
      <c r="AB121" s="68">
        <f>VLOOKUP(AA116,'Экономический эффект'!$B$9:$F$179,5,FALSE)</f>
        <v>0</v>
      </c>
      <c r="AC121" s="2"/>
      <c r="AD121" s="2"/>
      <c r="AE121" s="2"/>
      <c r="AF121" s="2"/>
      <c r="AG121" s="2"/>
      <c r="AH121" s="2"/>
    </row>
    <row r="122" spans="1:34" ht="15" customHeight="1" thickTop="1" thickBot="1" x14ac:dyDescent="0.25">
      <c r="F122" s="45"/>
      <c r="G122" s="537"/>
      <c r="H122" s="537"/>
      <c r="K122" s="17"/>
      <c r="L122" s="537"/>
      <c r="M122" s="537"/>
      <c r="Q122" s="107" t="s">
        <v>493</v>
      </c>
      <c r="R122" s="108">
        <f>Q121-R121</f>
        <v>0</v>
      </c>
      <c r="V122" s="107" t="s">
        <v>493</v>
      </c>
      <c r="W122" s="108">
        <f>V121-W121</f>
        <v>0</v>
      </c>
      <c r="AA122" s="107" t="s">
        <v>493</v>
      </c>
      <c r="AB122" s="108">
        <f>AB121-AA121</f>
        <v>0</v>
      </c>
    </row>
    <row r="123" spans="1:34" ht="15.75" customHeight="1" thickTop="1" x14ac:dyDescent="0.2">
      <c r="F123" s="45"/>
      <c r="G123" s="537"/>
      <c r="H123" s="537"/>
      <c r="K123" s="17"/>
      <c r="L123" s="537"/>
      <c r="M123" s="537"/>
      <c r="Q123" s="537"/>
      <c r="R123" s="537"/>
      <c r="V123" s="537"/>
      <c r="W123" s="537"/>
      <c r="AA123" s="537"/>
      <c r="AB123" s="537"/>
    </row>
    <row r="124" spans="1:34" ht="15" customHeight="1" thickBot="1" x14ac:dyDescent="0.25">
      <c r="A124" s="2"/>
      <c r="F124" s="45"/>
      <c r="G124" s="547"/>
      <c r="H124" s="547"/>
      <c r="K124" s="17"/>
      <c r="L124" s="547"/>
      <c r="M124" s="547"/>
      <c r="Q124" s="4"/>
      <c r="R124" s="4"/>
      <c r="AB124"/>
    </row>
    <row r="125" spans="1:34" ht="17.75" customHeight="1" thickTop="1" x14ac:dyDescent="0.2">
      <c r="A125" s="2"/>
      <c r="F125" s="45"/>
      <c r="G125" s="549" t="s">
        <v>385</v>
      </c>
      <c r="H125" s="550"/>
      <c r="K125" s="17"/>
      <c r="L125" s="549" t="s">
        <v>389</v>
      </c>
      <c r="M125" s="550"/>
      <c r="Q125" s="531" t="s">
        <v>391</v>
      </c>
      <c r="R125" s="532"/>
      <c r="S125" s="4"/>
      <c r="T125" s="4"/>
      <c r="U125" s="4"/>
      <c r="V125" s="531" t="s">
        <v>394</v>
      </c>
      <c r="W125" s="532"/>
      <c r="X125" s="4"/>
      <c r="Y125" s="4"/>
      <c r="Z125" s="4"/>
      <c r="AA125" s="531" t="s">
        <v>397</v>
      </c>
      <c r="AB125" s="532"/>
      <c r="AC125" s="32"/>
      <c r="AD125" s="32"/>
      <c r="AE125" s="32"/>
      <c r="AF125" s="32"/>
      <c r="AG125" s="32"/>
      <c r="AH125" s="32"/>
    </row>
    <row r="126" spans="1:34" ht="23.75" customHeight="1" x14ac:dyDescent="0.2">
      <c r="A126" s="2"/>
      <c r="F126" s="45"/>
      <c r="G126" s="533" t="s">
        <v>513</v>
      </c>
      <c r="H126" s="534"/>
      <c r="K126" s="17"/>
      <c r="L126" s="533" t="s">
        <v>514</v>
      </c>
      <c r="M126" s="534"/>
      <c r="Q126" s="535" t="s">
        <v>392</v>
      </c>
      <c r="R126" s="536"/>
      <c r="S126" s="4"/>
      <c r="T126" s="4"/>
      <c r="U126" s="4"/>
      <c r="V126" s="535" t="s">
        <v>293</v>
      </c>
      <c r="W126" s="536"/>
      <c r="X126" s="4"/>
      <c r="Y126" s="4"/>
      <c r="Z126" s="4"/>
      <c r="AA126" s="535" t="s">
        <v>294</v>
      </c>
      <c r="AB126" s="536"/>
      <c r="AC126" s="33"/>
      <c r="AD126" s="33"/>
      <c r="AE126" s="33"/>
      <c r="AF126" s="33"/>
      <c r="AG126" s="33"/>
      <c r="AH126" s="33"/>
    </row>
    <row r="127" spans="1:34" ht="17.75" customHeight="1" thickBot="1" x14ac:dyDescent="0.25">
      <c r="F127" s="45"/>
      <c r="G127" s="538" t="s">
        <v>236</v>
      </c>
      <c r="H127" s="539"/>
      <c r="I127" s="551" t="s">
        <v>492</v>
      </c>
      <c r="J127" s="547"/>
      <c r="K127" s="18"/>
      <c r="L127" s="538" t="s">
        <v>236</v>
      </c>
      <c r="M127" s="539"/>
      <c r="N127" s="540" t="s">
        <v>492</v>
      </c>
      <c r="O127" s="541"/>
      <c r="P127" s="542"/>
      <c r="Q127" s="543" t="s">
        <v>393</v>
      </c>
      <c r="R127" s="544"/>
      <c r="S127" s="545" t="s">
        <v>499</v>
      </c>
      <c r="T127" s="541"/>
      <c r="U127" s="542"/>
      <c r="V127" s="543" t="s">
        <v>396</v>
      </c>
      <c r="W127" s="544"/>
      <c r="X127" s="545" t="s">
        <v>499</v>
      </c>
      <c r="Y127" s="541"/>
      <c r="Z127" s="542"/>
      <c r="AA127" s="543" t="s">
        <v>39</v>
      </c>
      <c r="AB127" s="544"/>
      <c r="AC127" s="32"/>
      <c r="AD127" s="32"/>
      <c r="AE127" s="32"/>
      <c r="AF127" s="32"/>
      <c r="AG127" s="32"/>
      <c r="AH127" s="32"/>
    </row>
    <row r="128" spans="1:34" ht="24.5" customHeight="1" thickTop="1" thickBot="1" x14ac:dyDescent="0.25">
      <c r="F128" s="43"/>
      <c r="G128" s="538" t="s">
        <v>504</v>
      </c>
      <c r="H128" s="539"/>
      <c r="I128" s="16"/>
      <c r="J128" s="19"/>
      <c r="K128" s="19"/>
      <c r="L128" s="538" t="s">
        <v>479</v>
      </c>
      <c r="M128" s="539"/>
      <c r="N128" s="20"/>
      <c r="O128" s="21"/>
      <c r="P128" s="21"/>
      <c r="Q128" s="543" t="s">
        <v>479</v>
      </c>
      <c r="R128" s="544"/>
      <c r="S128" s="15"/>
      <c r="T128" s="15"/>
      <c r="U128" s="15"/>
      <c r="V128" s="476" t="s">
        <v>482</v>
      </c>
      <c r="W128" s="138" t="s">
        <v>479</v>
      </c>
      <c r="X128" s="15"/>
      <c r="Y128" s="15"/>
      <c r="Z128" s="15"/>
      <c r="AA128" s="543" t="s">
        <v>508</v>
      </c>
      <c r="AB128" s="544"/>
      <c r="AC128" s="32"/>
      <c r="AD128" s="32"/>
      <c r="AE128" s="32"/>
      <c r="AF128" s="32"/>
      <c r="AG128" s="32"/>
      <c r="AH128" s="32"/>
    </row>
    <row r="129" spans="1:34" ht="15" customHeight="1" thickTop="1" x14ac:dyDescent="0.2">
      <c r="B129" s="623" t="s">
        <v>261</v>
      </c>
      <c r="C129" s="624"/>
      <c r="F129" s="45"/>
      <c r="G129" s="139" t="s">
        <v>258</v>
      </c>
      <c r="H129" s="140" t="s">
        <v>259</v>
      </c>
      <c r="L129" s="139" t="s">
        <v>258</v>
      </c>
      <c r="M129" s="140" t="s">
        <v>259</v>
      </c>
      <c r="Q129" s="137" t="s">
        <v>258</v>
      </c>
      <c r="R129" s="138" t="s">
        <v>259</v>
      </c>
      <c r="S129" s="4"/>
      <c r="T129" s="4"/>
      <c r="U129" s="4"/>
      <c r="V129" s="137" t="s">
        <v>258</v>
      </c>
      <c r="W129" s="138" t="s">
        <v>259</v>
      </c>
      <c r="X129" s="4"/>
      <c r="Y129" s="4"/>
      <c r="Z129" s="4"/>
      <c r="AA129" s="137" t="s">
        <v>258</v>
      </c>
      <c r="AB129" s="138" t="s">
        <v>259</v>
      </c>
      <c r="AC129" s="2"/>
      <c r="AD129" s="2"/>
      <c r="AE129" s="2"/>
      <c r="AF129" s="2"/>
      <c r="AG129" s="2"/>
      <c r="AH129" s="2"/>
    </row>
    <row r="130" spans="1:34" ht="34.25" customHeight="1" thickBot="1" x14ac:dyDescent="0.25">
      <c r="B130" s="630" t="s">
        <v>515</v>
      </c>
      <c r="C130" s="631"/>
      <c r="F130" s="45"/>
      <c r="G130" s="65">
        <f>VLOOKUP(G125,'Экономический эффект'!$B$9:$F$179,4,FALSE)</f>
        <v>0</v>
      </c>
      <c r="H130" s="68">
        <f>VLOOKUP(G125,'Экономический эффект'!$B$9:$F$179,5,FALSE)</f>
        <v>0</v>
      </c>
      <c r="L130" s="65">
        <f>VLOOKUP(L125,'Экономический эффект'!$B$9:$F$179,4,FALSE)</f>
        <v>0</v>
      </c>
      <c r="M130" s="68">
        <f>VLOOKUP(L125,'Экономический эффект'!$B$9:$F$179,5,FALSE)</f>
        <v>0</v>
      </c>
      <c r="Q130" s="67">
        <f>VLOOKUP(Q125,'Экономический эффект'!$B$9:$F$179,4,FALSE)</f>
        <v>0</v>
      </c>
      <c r="R130" s="68">
        <f>VLOOKUP(Q125,'Экономический эффект'!$B$9:$F$179,5,FALSE)</f>
        <v>0</v>
      </c>
      <c r="S130" s="4"/>
      <c r="T130" s="4"/>
      <c r="U130" s="4"/>
      <c r="V130" s="67">
        <f>VLOOKUP(V125,'Экономический эффект'!$B$9:$F$179,4,FALSE)</f>
        <v>0</v>
      </c>
      <c r="W130" s="68">
        <f>VLOOKUP(V125,'Экономический эффект'!$B$9:$F$179,5,FALSE)</f>
        <v>0</v>
      </c>
      <c r="X130" s="4"/>
      <c r="Y130" s="4"/>
      <c r="Z130" s="4"/>
      <c r="AA130" s="69">
        <f>VLOOKUP(AA125,'Экономический эффект'!$B$9:$F$179,4,FALSE)</f>
        <v>1.3</v>
      </c>
      <c r="AB130" s="70">
        <f>VLOOKUP(AA125,'Экономический эффект'!$B$9:$F$179,5,FALSE)</f>
        <v>1.3</v>
      </c>
      <c r="AC130" s="2"/>
      <c r="AD130" s="2"/>
      <c r="AE130" s="2"/>
      <c r="AF130" s="2"/>
      <c r="AG130" s="2"/>
      <c r="AH130" s="2"/>
    </row>
    <row r="131" spans="1:34" ht="15.5" customHeight="1" thickTop="1" thickBot="1" x14ac:dyDescent="0.25">
      <c r="B131" s="634" t="s">
        <v>236</v>
      </c>
      <c r="C131" s="635"/>
      <c r="D131" s="127" t="s">
        <v>492</v>
      </c>
      <c r="E131" s="128"/>
      <c r="F131" s="45"/>
      <c r="G131" s="107" t="s">
        <v>493</v>
      </c>
      <c r="H131" s="108">
        <f>G130-H130</f>
        <v>0</v>
      </c>
      <c r="L131" s="107" t="s">
        <v>493</v>
      </c>
      <c r="M131" s="108">
        <f>L130-M130</f>
        <v>0</v>
      </c>
      <c r="Q131" s="107" t="s">
        <v>493</v>
      </c>
      <c r="R131" s="108">
        <f>Q130-R130</f>
        <v>0</v>
      </c>
      <c r="V131" s="107" t="s">
        <v>493</v>
      </c>
      <c r="W131" s="108">
        <f>W130-V130</f>
        <v>0</v>
      </c>
      <c r="AB131"/>
    </row>
    <row r="132" spans="1:34" ht="15.5" customHeight="1" thickTop="1" x14ac:dyDescent="0.2">
      <c r="B132" s="634" t="s">
        <v>504</v>
      </c>
      <c r="C132" s="635"/>
      <c r="D132" s="44"/>
      <c r="E132" s="44"/>
      <c r="F132" s="45"/>
      <c r="G132" s="546" t="s">
        <v>506</v>
      </c>
      <c r="H132" s="546"/>
      <c r="AB132"/>
    </row>
    <row r="133" spans="1:34" ht="20.75" customHeight="1" thickBot="1" x14ac:dyDescent="0.25">
      <c r="B133" s="485" t="s">
        <v>258</v>
      </c>
      <c r="C133" s="31" t="s">
        <v>259</v>
      </c>
      <c r="F133" s="45"/>
      <c r="G133" s="537"/>
      <c r="H133" s="537"/>
    </row>
    <row r="134" spans="1:34" ht="15" customHeight="1" thickBot="1" x14ac:dyDescent="0.25">
      <c r="B134" s="81">
        <f>IFERROR(VLOOKUP(B129,'Экономический эффект'!$B$9:$F$179,4,FALSE),"0")</f>
        <v>30583921.752930224</v>
      </c>
      <c r="C134" s="82">
        <f>IFERROR(VLOOKUP(B129,'Экономический эффект'!$B$9:$F$179,5,FALSE),"0")</f>
        <v>34631793.749642774</v>
      </c>
      <c r="F134" s="45"/>
      <c r="G134" s="537"/>
      <c r="H134" s="537"/>
      <c r="I134" s="47"/>
      <c r="J134" s="47"/>
      <c r="K134" s="47"/>
      <c r="L134" s="47"/>
      <c r="M134" s="48"/>
      <c r="N134" s="47"/>
      <c r="O134" s="47"/>
      <c r="P134" s="47"/>
      <c r="Q134" s="47"/>
      <c r="R134" s="48"/>
      <c r="S134" s="47"/>
      <c r="T134" s="47"/>
      <c r="U134" s="47"/>
      <c r="V134" s="47"/>
      <c r="W134" s="48"/>
      <c r="X134" s="47"/>
      <c r="Y134" s="47"/>
      <c r="Z134" s="47"/>
      <c r="AA134" s="47"/>
      <c r="AB134" s="48"/>
      <c r="AC134" s="47"/>
      <c r="AD134" s="47"/>
      <c r="AE134" s="47"/>
      <c r="AF134" s="47"/>
      <c r="AG134" s="47"/>
      <c r="AH134" s="47"/>
    </row>
    <row r="135" spans="1:34" ht="33.5" customHeight="1" thickTop="1" thickBot="1" x14ac:dyDescent="0.25">
      <c r="B135" s="115" t="s">
        <v>242</v>
      </c>
      <c r="C135" s="116">
        <f>C134-B134</f>
        <v>4047871.9967125505</v>
      </c>
      <c r="F135" s="45"/>
      <c r="G135" s="537"/>
      <c r="H135" s="537"/>
      <c r="K135" s="30"/>
      <c r="L135" s="552" t="s">
        <v>418</v>
      </c>
      <c r="M135" s="553"/>
      <c r="N135" s="29"/>
      <c r="P135" s="30"/>
      <c r="Q135" s="552" t="s">
        <v>420</v>
      </c>
      <c r="R135" s="553"/>
      <c r="V135" s="552" t="s">
        <v>423</v>
      </c>
      <c r="W135" s="553"/>
      <c r="AB135"/>
    </row>
    <row r="136" spans="1:34" ht="29" customHeight="1" thickTop="1" x14ac:dyDescent="0.2">
      <c r="B136" s="99"/>
      <c r="C136" s="99"/>
      <c r="F136" s="45"/>
      <c r="G136" s="537"/>
      <c r="H136" s="537"/>
      <c r="K136" s="30"/>
      <c r="L136" s="554" t="s">
        <v>419</v>
      </c>
      <c r="M136" s="555"/>
      <c r="P136" s="30"/>
      <c r="Q136" s="554" t="s">
        <v>421</v>
      </c>
      <c r="R136" s="555"/>
      <c r="V136" s="554" t="s">
        <v>516</v>
      </c>
      <c r="W136" s="555"/>
      <c r="AB136"/>
      <c r="AF136" s="165"/>
    </row>
    <row r="137" spans="1:34" ht="24.5" customHeight="1" thickBot="1" x14ac:dyDescent="0.35">
      <c r="F137" s="45"/>
      <c r="G137" s="537"/>
      <c r="H137" s="537"/>
      <c r="I137" s="625"/>
      <c r="J137" s="625"/>
      <c r="K137" s="626"/>
      <c r="L137" s="556" t="s">
        <v>236</v>
      </c>
      <c r="M137" s="557"/>
      <c r="N137" s="558" t="s">
        <v>492</v>
      </c>
      <c r="O137" s="558"/>
      <c r="P137" s="559"/>
      <c r="Q137" s="556" t="s">
        <v>422</v>
      </c>
      <c r="R137" s="557"/>
      <c r="S137" s="558" t="s">
        <v>499</v>
      </c>
      <c r="T137" s="558"/>
      <c r="U137" s="559"/>
      <c r="V137" s="556" t="s">
        <v>517</v>
      </c>
      <c r="W137" s="557"/>
      <c r="AB137"/>
      <c r="AF137" s="156"/>
    </row>
    <row r="138" spans="1:34" ht="27.5" customHeight="1" thickTop="1" thickBot="1" x14ac:dyDescent="0.25">
      <c r="B138" s="619" t="s">
        <v>202</v>
      </c>
      <c r="C138" s="621">
        <f>'Экономический эффект'!G10</f>
        <v>1598390.4807532313</v>
      </c>
      <c r="F138" s="45"/>
      <c r="G138" s="612"/>
      <c r="H138" s="612"/>
      <c r="K138" s="146"/>
      <c r="L138" s="556" t="s">
        <v>497</v>
      </c>
      <c r="M138" s="557"/>
      <c r="Q138" s="556" t="s">
        <v>497</v>
      </c>
      <c r="R138" s="557"/>
      <c r="V138" s="556" t="s">
        <v>482</v>
      </c>
      <c r="W138" s="557"/>
      <c r="AB138"/>
      <c r="AF138" s="156"/>
    </row>
    <row r="139" spans="1:34" ht="27.5" customHeight="1" thickTop="1" thickBot="1" x14ac:dyDescent="0.25">
      <c r="B139" s="620"/>
      <c r="C139" s="622"/>
      <c r="F139" s="45"/>
      <c r="G139" s="627" t="s">
        <v>416</v>
      </c>
      <c r="H139" s="628"/>
      <c r="I139" s="38"/>
      <c r="K139" s="38"/>
      <c r="L139" s="141" t="s">
        <v>258</v>
      </c>
      <c r="M139" s="142" t="s">
        <v>259</v>
      </c>
      <c r="Q139" s="141" t="s">
        <v>258</v>
      </c>
      <c r="R139" s="142" t="s">
        <v>259</v>
      </c>
      <c r="V139" s="141" t="s">
        <v>258</v>
      </c>
      <c r="W139" s="142" t="s">
        <v>259</v>
      </c>
      <c r="AB139"/>
    </row>
    <row r="140" spans="1:34" ht="26.25" customHeight="1" thickTop="1" thickBot="1" x14ac:dyDescent="0.25">
      <c r="F140" s="45"/>
      <c r="G140" s="605" t="s">
        <v>518</v>
      </c>
      <c r="H140" s="606"/>
      <c r="I140" s="38"/>
      <c r="K140" s="38"/>
      <c r="L140" s="183">
        <f>VLOOKUP(L135,'Экономический эффект'!$B$9:$F$179,4,FALSE)</f>
        <v>0</v>
      </c>
      <c r="M140" s="182">
        <f>VLOOKUP(L135,'Экономический эффект'!$B$9:$F$179,5,FALSE)</f>
        <v>0</v>
      </c>
      <c r="Q140" s="77">
        <f>'Экономический эффект'!E158</f>
        <v>0</v>
      </c>
      <c r="R140" s="182">
        <f>'Экономический эффект'!F158</f>
        <v>0</v>
      </c>
      <c r="V140" s="77">
        <f>W140</f>
        <v>0</v>
      </c>
      <c r="W140" s="78">
        <f>IF('Экономический эффект'!F159=0,'Экономический эффект'!F160,'Экономический эффект'!F159)</f>
        <v>0</v>
      </c>
      <c r="AB140"/>
    </row>
    <row r="141" spans="1:34" ht="25.25" customHeight="1" thickTop="1" thickBot="1" x14ac:dyDescent="0.25">
      <c r="B141" s="613" t="s">
        <v>519</v>
      </c>
      <c r="C141" s="615">
        <f>'Экономический эффект'!G166</f>
        <v>0</v>
      </c>
      <c r="F141" s="45"/>
      <c r="G141" s="607" t="s">
        <v>236</v>
      </c>
      <c r="H141" s="608"/>
      <c r="I141" s="38"/>
      <c r="K141" s="38"/>
      <c r="L141" s="180" t="s">
        <v>493</v>
      </c>
      <c r="M141" s="181">
        <f>IF('Экономический эффект'!F159=0,0,M140-L140)</f>
        <v>0</v>
      </c>
      <c r="Q141" s="110" t="s">
        <v>493</v>
      </c>
      <c r="R141" s="150">
        <f>R140-Q140</f>
        <v>0</v>
      </c>
      <c r="V141" s="151"/>
      <c r="W141" s="143"/>
      <c r="AB141"/>
    </row>
    <row r="142" spans="1:34" ht="22.25" customHeight="1" thickTop="1" thickBot="1" x14ac:dyDescent="0.25">
      <c r="A142" s="51"/>
      <c r="B142" s="614"/>
      <c r="C142" s="616"/>
      <c r="F142" s="45"/>
      <c r="G142" s="607" t="s">
        <v>504</v>
      </c>
      <c r="H142" s="608"/>
      <c r="I142" s="38"/>
      <c r="K142" s="38"/>
      <c r="L142" s="178" t="s">
        <v>202</v>
      </c>
      <c r="M142" s="179">
        <f>IF('Экономический эффект'!F159=0,M140-L140,0)</f>
        <v>0</v>
      </c>
      <c r="Q142" s="151"/>
      <c r="R142" s="143"/>
      <c r="V142" s="477"/>
      <c r="W142" s="482"/>
      <c r="AB142"/>
    </row>
    <row r="143" spans="1:34" ht="23.5" customHeight="1" thickTop="1" thickBot="1" x14ac:dyDescent="0.35">
      <c r="A143" s="51"/>
      <c r="B143" s="477"/>
      <c r="C143" s="482"/>
      <c r="F143" s="144"/>
      <c r="G143" s="89" t="s">
        <v>258</v>
      </c>
      <c r="H143" s="90" t="s">
        <v>259</v>
      </c>
      <c r="I143" s="609" t="s">
        <v>492</v>
      </c>
      <c r="J143" s="610"/>
      <c r="K143" s="147"/>
      <c r="L143" s="558" t="s">
        <v>495</v>
      </c>
      <c r="M143" s="558"/>
      <c r="N143" s="4"/>
    </row>
    <row r="144" spans="1:34" ht="23.5" customHeight="1" thickTop="1" thickBot="1" x14ac:dyDescent="0.25">
      <c r="B144" s="563"/>
      <c r="C144" s="611"/>
      <c r="F144" s="145"/>
      <c r="G144" s="75">
        <f>VLOOKUP(G139,'Экономический эффект'!$B$9:$F$179,4,FALSE)</f>
        <v>0</v>
      </c>
      <c r="H144" s="76">
        <f>VLOOKUP(G139,'Экономический эффект'!$B$9:$F$179,5,FALSE)</f>
        <v>0</v>
      </c>
      <c r="I144" s="38"/>
      <c r="K144" s="148"/>
      <c r="L144" s="552" t="s">
        <v>426</v>
      </c>
      <c r="M144" s="553"/>
      <c r="N144" s="29"/>
      <c r="P144" s="30"/>
      <c r="Q144" s="552" t="s">
        <v>520</v>
      </c>
      <c r="R144" s="553"/>
      <c r="V144" s="562"/>
      <c r="W144" s="562"/>
      <c r="AA144" s="562"/>
      <c r="AB144" s="562"/>
    </row>
    <row r="145" spans="1:28" ht="27" customHeight="1" thickTop="1" thickBot="1" x14ac:dyDescent="0.25">
      <c r="B145" s="563"/>
      <c r="C145" s="611"/>
      <c r="F145" s="145"/>
      <c r="G145" s="110" t="s">
        <v>493</v>
      </c>
      <c r="H145" s="109">
        <f>'Экономический эффект'!G155</f>
        <v>0</v>
      </c>
      <c r="I145" s="38"/>
      <c r="K145" s="148"/>
      <c r="L145" s="554" t="s">
        <v>521</v>
      </c>
      <c r="M145" s="555"/>
      <c r="N145" s="29"/>
      <c r="P145" s="30"/>
      <c r="Q145" s="554" t="s">
        <v>522</v>
      </c>
      <c r="R145" s="555"/>
      <c r="V145" s="563"/>
      <c r="W145" s="563"/>
      <c r="AA145" s="563"/>
      <c r="AB145" s="563"/>
    </row>
    <row r="146" spans="1:28" ht="28.25" customHeight="1" thickTop="1" thickBot="1" x14ac:dyDescent="0.25">
      <c r="F146" s="45"/>
      <c r="G146" s="178" t="s">
        <v>202</v>
      </c>
      <c r="H146" s="179">
        <f>'Экономический эффект'!G156</f>
        <v>0</v>
      </c>
      <c r="K146" s="149"/>
      <c r="L146" s="556" t="s">
        <v>236</v>
      </c>
      <c r="M146" s="557"/>
      <c r="N146" s="592" t="s">
        <v>492</v>
      </c>
      <c r="O146" s="558"/>
      <c r="P146" s="559"/>
      <c r="Q146" s="556" t="s">
        <v>236</v>
      </c>
      <c r="R146" s="557"/>
      <c r="S146" s="537"/>
      <c r="T146" s="537"/>
      <c r="U146" s="537"/>
      <c r="V146" s="562"/>
      <c r="W146" s="562"/>
      <c r="X146" s="537"/>
      <c r="Y146" s="537"/>
      <c r="Z146" s="537"/>
      <c r="AA146" s="562"/>
      <c r="AB146" s="562"/>
    </row>
    <row r="147" spans="1:28" ht="28.25" customHeight="1" thickTop="1" x14ac:dyDescent="0.2">
      <c r="F147" s="45"/>
      <c r="K147" s="146"/>
      <c r="L147" s="91" t="s">
        <v>497</v>
      </c>
      <c r="M147" s="92" t="s">
        <v>487</v>
      </c>
      <c r="Q147" s="556" t="s">
        <v>497</v>
      </c>
      <c r="R147" s="557" t="s">
        <v>487</v>
      </c>
      <c r="V147" s="2"/>
      <c r="W147" s="2"/>
      <c r="AA147" s="562"/>
      <c r="AB147" s="562"/>
    </row>
    <row r="148" spans="1:28" ht="14.75" customHeight="1" x14ac:dyDescent="0.2">
      <c r="F148" s="45"/>
      <c r="K148" s="38"/>
      <c r="L148" s="141" t="s">
        <v>258</v>
      </c>
      <c r="M148" s="142" t="s">
        <v>259</v>
      </c>
      <c r="Q148" s="141" t="s">
        <v>258</v>
      </c>
      <c r="R148" s="142" t="s">
        <v>259</v>
      </c>
      <c r="V148" s="2"/>
      <c r="W148" s="2"/>
      <c r="AA148" s="2"/>
      <c r="AB148" s="2"/>
    </row>
    <row r="149" spans="1:28" ht="27" customHeight="1" thickBot="1" x14ac:dyDescent="0.25">
      <c r="F149" s="45"/>
      <c r="K149" s="38"/>
      <c r="L149" s="77">
        <f>VLOOKUP(L144,'Экономический эффект'!$B$9:$F$179,4,FALSE)</f>
        <v>0</v>
      </c>
      <c r="M149" s="78">
        <f>VLOOKUP(L144,'Экономический эффект'!$B$9:$F$179,5,FALSE)</f>
        <v>0</v>
      </c>
      <c r="Q149" s="77" t="e">
        <f>VLOOKUP(Q144,'Экономический эффект'!$B$9:$F$179,4,FALSE)</f>
        <v>#N/A</v>
      </c>
      <c r="R149" s="78" t="e">
        <f>VLOOKUP(Q144,'Экономический эффект'!$B$9:$F$179,5,FALSE)</f>
        <v>#N/A</v>
      </c>
      <c r="V149" s="99"/>
      <c r="W149" s="99"/>
      <c r="AA149" s="99"/>
      <c r="AB149" s="99"/>
    </row>
    <row r="150" spans="1:28" ht="22.25" customHeight="1" thickTop="1" thickBot="1" x14ac:dyDescent="0.25">
      <c r="F150" s="45"/>
      <c r="G150" s="537" t="s">
        <v>495</v>
      </c>
      <c r="H150" s="537"/>
      <c r="K150" s="38"/>
      <c r="L150" s="110" t="s">
        <v>493</v>
      </c>
      <c r="M150" s="109">
        <f>L149-M149</f>
        <v>0</v>
      </c>
      <c r="Q150" s="110" t="s">
        <v>493</v>
      </c>
      <c r="R150" s="150" t="e">
        <f>Q149-R149</f>
        <v>#N/A</v>
      </c>
      <c r="V150" s="477"/>
      <c r="W150" s="482"/>
      <c r="AA150" s="477"/>
      <c r="AB150" s="482"/>
    </row>
    <row r="151" spans="1:28" ht="26.5" customHeight="1" thickTop="1" x14ac:dyDescent="0.2">
      <c r="A151" s="51"/>
      <c r="F151" s="45"/>
      <c r="G151" s="537"/>
      <c r="H151" s="537"/>
      <c r="K151" s="38"/>
      <c r="L151" s="546" t="s">
        <v>506</v>
      </c>
      <c r="M151" s="546"/>
      <c r="Q151" s="477"/>
      <c r="R151" s="482"/>
      <c r="V151" s="477"/>
      <c r="W151" s="482"/>
      <c r="AA151" s="477"/>
      <c r="AB151" s="482"/>
    </row>
    <row r="152" spans="1:28" ht="14.75" customHeight="1" thickBot="1" x14ac:dyDescent="0.25">
      <c r="B152" s="51"/>
      <c r="C152" s="51"/>
      <c r="F152" s="45"/>
      <c r="G152" s="537"/>
      <c r="H152" s="537"/>
      <c r="K152" s="38"/>
      <c r="L152" s="537"/>
      <c r="M152" s="537"/>
      <c r="Q152" s="477"/>
      <c r="R152" s="482"/>
      <c r="V152" s="477"/>
      <c r="W152" s="482"/>
      <c r="AA152" s="477"/>
      <c r="AB152" s="482"/>
    </row>
    <row r="153" spans="1:28" ht="27" customHeight="1" x14ac:dyDescent="0.2">
      <c r="F153" s="45"/>
      <c r="G153" s="537"/>
      <c r="H153" s="537"/>
      <c r="K153" s="38"/>
      <c r="L153" s="552" t="s">
        <v>432</v>
      </c>
      <c r="M153" s="553"/>
      <c r="Q153" s="477"/>
      <c r="R153" s="482"/>
      <c r="V153" s="477"/>
      <c r="W153" s="482"/>
      <c r="AA153" s="477"/>
      <c r="AB153" s="482"/>
    </row>
    <row r="154" spans="1:28" ht="19.5" customHeight="1" x14ac:dyDescent="0.2">
      <c r="F154" s="45"/>
      <c r="G154" s="537"/>
      <c r="H154" s="537"/>
      <c r="K154" s="38"/>
      <c r="L154" s="554" t="s">
        <v>523</v>
      </c>
      <c r="M154" s="555"/>
      <c r="Q154" s="477"/>
      <c r="R154" s="482"/>
      <c r="V154" s="477"/>
      <c r="W154" s="482"/>
      <c r="AA154" s="477"/>
      <c r="AB154" s="482"/>
    </row>
    <row r="155" spans="1:28" ht="28.25" customHeight="1" thickBot="1" x14ac:dyDescent="0.25">
      <c r="F155" s="45"/>
      <c r="G155" s="537"/>
      <c r="H155" s="537"/>
      <c r="K155" s="221"/>
      <c r="L155" s="556" t="s">
        <v>236</v>
      </c>
      <c r="M155" s="557"/>
      <c r="Q155" s="477"/>
      <c r="R155" s="482"/>
      <c r="V155" s="477"/>
      <c r="W155" s="482"/>
      <c r="AA155" s="477"/>
      <c r="AB155" s="482"/>
    </row>
    <row r="156" spans="1:28" ht="14.75" customHeight="1" thickTop="1" x14ac:dyDescent="0.2">
      <c r="F156" s="45"/>
      <c r="G156" s="537"/>
      <c r="H156" s="537"/>
      <c r="L156" s="556" t="s">
        <v>497</v>
      </c>
      <c r="M156" s="557"/>
      <c r="Q156" s="477"/>
      <c r="R156" s="482"/>
      <c r="V156" s="477"/>
      <c r="W156" s="482"/>
      <c r="AA156" s="477"/>
      <c r="AB156" s="482"/>
    </row>
    <row r="157" spans="1:28" ht="27" customHeight="1" x14ac:dyDescent="0.2">
      <c r="F157" s="45"/>
      <c r="G157" s="537"/>
      <c r="H157" s="537"/>
      <c r="L157" s="141" t="s">
        <v>258</v>
      </c>
      <c r="M157" s="142" t="s">
        <v>259</v>
      </c>
      <c r="Q157" s="477"/>
      <c r="R157" s="482"/>
      <c r="V157" s="477"/>
      <c r="W157" s="482"/>
      <c r="AA157" s="477"/>
      <c r="AB157" s="482"/>
    </row>
    <row r="158" spans="1:28" ht="14.75" customHeight="1" thickBot="1" x14ac:dyDescent="0.25">
      <c r="F158" s="45"/>
      <c r="G158" s="537"/>
      <c r="H158" s="537"/>
      <c r="L158" s="183">
        <v>0</v>
      </c>
      <c r="M158" s="182">
        <f>IF('Экономический эффект'!F163=0,'Экономический эффект'!F164,'Экономический эффект'!F163)</f>
        <v>0</v>
      </c>
      <c r="Q158" s="477"/>
      <c r="R158" s="482"/>
      <c r="V158" s="477"/>
      <c r="W158" s="482"/>
      <c r="AA158" s="477"/>
      <c r="AB158" s="482"/>
    </row>
    <row r="159" spans="1:28" ht="28.25" customHeight="1" thickTop="1" thickBot="1" x14ac:dyDescent="0.25">
      <c r="A159" s="51"/>
      <c r="F159" s="45"/>
      <c r="G159" s="537"/>
      <c r="H159" s="537"/>
      <c r="L159" s="180" t="s">
        <v>493</v>
      </c>
      <c r="M159" s="181">
        <f>'Экономический эффект'!F163</f>
        <v>0</v>
      </c>
      <c r="Q159" s="477"/>
      <c r="R159" s="482"/>
      <c r="V159" s="477"/>
      <c r="W159" s="482"/>
      <c r="AA159" s="477"/>
      <c r="AB159" s="482"/>
    </row>
    <row r="160" spans="1:28" ht="28.25" customHeight="1" thickTop="1" thickBot="1" x14ac:dyDescent="0.25">
      <c r="A160" s="51"/>
      <c r="F160" s="45"/>
      <c r="G160" s="537"/>
      <c r="H160" s="537"/>
      <c r="L160" s="178" t="s">
        <v>202</v>
      </c>
      <c r="M160" s="179">
        <f>'Экономический эффект'!F164</f>
        <v>0</v>
      </c>
      <c r="Q160" s="477"/>
      <c r="R160" s="482"/>
      <c r="V160" s="477"/>
      <c r="W160" s="482"/>
      <c r="AA160" s="477"/>
      <c r="AB160" s="482"/>
    </row>
    <row r="161" spans="1:39" ht="27" customHeight="1" thickTop="1" thickBot="1" x14ac:dyDescent="0.25">
      <c r="A161" s="51"/>
      <c r="F161" s="45"/>
      <c r="G161" s="537"/>
      <c r="H161" s="537"/>
      <c r="I161" s="94"/>
      <c r="J161" s="94"/>
      <c r="K161" s="94"/>
      <c r="L161" s="94"/>
      <c r="M161" s="95"/>
      <c r="N161" s="94"/>
      <c r="O161" s="94"/>
      <c r="P161" s="94"/>
      <c r="Q161" s="94"/>
      <c r="R161" s="95"/>
      <c r="S161" s="94"/>
      <c r="T161" s="94"/>
      <c r="U161" s="94"/>
      <c r="V161" s="94"/>
      <c r="W161" s="95"/>
      <c r="X161" s="94"/>
      <c r="Y161" s="94"/>
      <c r="Z161" s="94"/>
      <c r="AA161" s="94"/>
      <c r="AB161" s="95"/>
      <c r="AC161" s="94"/>
      <c r="AD161" s="94"/>
      <c r="AE161" s="94"/>
      <c r="AF161" s="94"/>
      <c r="AG161" s="94"/>
      <c r="AH161" s="94"/>
      <c r="AI161" s="94"/>
      <c r="AJ161" s="94"/>
      <c r="AK161" s="94"/>
      <c r="AL161" s="94"/>
      <c r="AM161" s="94"/>
    </row>
    <row r="162" spans="1:39" ht="20" customHeight="1" thickBot="1" x14ac:dyDescent="0.25">
      <c r="A162" s="51"/>
      <c r="F162" s="45"/>
      <c r="G162" s="537"/>
      <c r="H162" s="537"/>
    </row>
    <row r="163" spans="1:39" ht="20" customHeight="1" thickTop="1" x14ac:dyDescent="0.2">
      <c r="A163" s="51"/>
      <c r="F163" s="45"/>
      <c r="G163" s="537"/>
      <c r="H163" s="537"/>
      <c r="Q163" s="564" t="s">
        <v>439</v>
      </c>
      <c r="R163" s="565"/>
      <c r="W163"/>
      <c r="AB163"/>
    </row>
    <row r="164" spans="1:39" ht="20" customHeight="1" x14ac:dyDescent="0.2">
      <c r="A164" s="51"/>
      <c r="F164" s="45"/>
      <c r="G164" s="537"/>
      <c r="H164" s="537"/>
      <c r="Q164" s="566" t="s">
        <v>524</v>
      </c>
      <c r="R164" s="567"/>
      <c r="W164"/>
      <c r="AB164"/>
    </row>
    <row r="165" spans="1:39" ht="20" customHeight="1" thickBot="1" x14ac:dyDescent="0.25">
      <c r="A165" s="51"/>
      <c r="F165" s="45"/>
      <c r="G165" s="537"/>
      <c r="H165" s="537"/>
      <c r="Q165" s="568" t="s">
        <v>236</v>
      </c>
      <c r="R165" s="569"/>
      <c r="W165"/>
      <c r="AB165"/>
    </row>
    <row r="166" spans="1:39" ht="20" customHeight="1" thickTop="1" x14ac:dyDescent="0.2">
      <c r="A166" s="51"/>
      <c r="F166" s="45"/>
      <c r="G166" s="537"/>
      <c r="H166" s="537"/>
      <c r="P166" s="23"/>
      <c r="Q166" s="87" t="s">
        <v>482</v>
      </c>
      <c r="R166" s="88" t="s">
        <v>498</v>
      </c>
      <c r="W166"/>
      <c r="AB166"/>
      <c r="AF166" s="156"/>
    </row>
    <row r="167" spans="1:39" ht="20" customHeight="1" x14ac:dyDescent="0.2">
      <c r="A167" s="51"/>
      <c r="F167" s="45"/>
      <c r="G167" s="537"/>
      <c r="H167" s="537"/>
      <c r="P167" s="24"/>
      <c r="Q167" s="87" t="s">
        <v>258</v>
      </c>
      <c r="R167" s="88" t="s">
        <v>259</v>
      </c>
      <c r="W167"/>
      <c r="AB167"/>
      <c r="AF167" s="156"/>
    </row>
    <row r="168" spans="1:39" ht="20" customHeight="1" thickBot="1" x14ac:dyDescent="0.25">
      <c r="A168" s="51"/>
      <c r="F168" s="45"/>
      <c r="G168" s="537"/>
      <c r="H168" s="537"/>
      <c r="P168" s="24"/>
      <c r="Q168" s="111">
        <f>VLOOKUP(Q163,'Экономический эффект'!$B$9:$F$179,4,FALSE)</f>
        <v>0</v>
      </c>
      <c r="R168" s="112">
        <f>VLOOKUP(Q163,'Экономический эффект'!$B$9:$F$179,5,FALSE)</f>
        <v>0</v>
      </c>
      <c r="W168"/>
      <c r="AB168"/>
      <c r="AF168" s="156"/>
    </row>
    <row r="169" spans="1:39" ht="36" customHeight="1" thickTop="1" thickBot="1" x14ac:dyDescent="0.25">
      <c r="A169" s="51"/>
      <c r="F169" s="45"/>
      <c r="G169" s="537"/>
      <c r="H169" s="537"/>
      <c r="P169" s="24"/>
      <c r="Q169" s="113" t="s">
        <v>493</v>
      </c>
      <c r="R169" s="114">
        <f>Q168-R168</f>
        <v>0</v>
      </c>
      <c r="W169"/>
      <c r="AB169"/>
    </row>
    <row r="170" spans="1:39" ht="15" customHeight="1" thickTop="1" x14ac:dyDescent="0.2">
      <c r="A170" s="51"/>
      <c r="B170" s="51"/>
      <c r="C170" s="51"/>
      <c r="F170" s="45"/>
      <c r="G170" s="537"/>
      <c r="H170" s="537"/>
      <c r="P170" s="24"/>
      <c r="Q170" s="578" t="s">
        <v>495</v>
      </c>
      <c r="R170" s="578"/>
      <c r="W170"/>
      <c r="AB170"/>
    </row>
    <row r="171" spans="1:39" ht="15" customHeight="1" thickBot="1" x14ac:dyDescent="0.25">
      <c r="A171" s="51"/>
      <c r="B171" s="51"/>
      <c r="C171" s="51"/>
      <c r="F171" s="45"/>
      <c r="G171" s="537"/>
      <c r="H171" s="537"/>
      <c r="P171" s="24"/>
      <c r="Q171" s="579"/>
      <c r="R171" s="579"/>
      <c r="W171"/>
      <c r="AB171"/>
      <c r="AF171" s="157"/>
    </row>
    <row r="172" spans="1:39" ht="24" customHeight="1" thickTop="1" x14ac:dyDescent="0.2">
      <c r="A172" s="51"/>
      <c r="B172" s="51"/>
      <c r="C172" s="51"/>
      <c r="F172" s="45"/>
      <c r="G172" s="537"/>
      <c r="H172" s="537"/>
      <c r="P172" s="24"/>
      <c r="Q172" s="564" t="s">
        <v>441</v>
      </c>
      <c r="R172" s="565"/>
      <c r="W172"/>
      <c r="AB172"/>
    </row>
    <row r="173" spans="1:39" ht="24" customHeight="1" x14ac:dyDescent="0.2">
      <c r="A173" s="51"/>
      <c r="B173" s="51"/>
      <c r="C173" s="51"/>
      <c r="F173" s="45"/>
      <c r="G173" s="537"/>
      <c r="H173" s="537"/>
      <c r="P173" s="24"/>
      <c r="Q173" s="566" t="s">
        <v>525</v>
      </c>
      <c r="R173" s="567"/>
      <c r="W173"/>
      <c r="AB173"/>
    </row>
    <row r="174" spans="1:39" ht="25.25" customHeight="1" thickBot="1" x14ac:dyDescent="0.25">
      <c r="A174" s="51"/>
      <c r="B174" s="51"/>
      <c r="C174" s="51"/>
      <c r="F174" s="45"/>
      <c r="G174" s="537"/>
      <c r="H174" s="537"/>
      <c r="P174" s="24"/>
      <c r="Q174" s="568" t="s">
        <v>236</v>
      </c>
      <c r="R174" s="569"/>
      <c r="W174"/>
      <c r="AB174"/>
    </row>
    <row r="175" spans="1:39" ht="14.75" customHeight="1" thickTop="1" x14ac:dyDescent="0.2">
      <c r="A175" s="51"/>
      <c r="B175" s="51"/>
      <c r="C175" s="51"/>
      <c r="F175" s="45"/>
      <c r="G175" s="537"/>
      <c r="H175" s="537"/>
      <c r="P175" s="26"/>
      <c r="Q175" s="87" t="s">
        <v>482</v>
      </c>
      <c r="R175" s="88" t="s">
        <v>485</v>
      </c>
      <c r="W175"/>
      <c r="AB175"/>
    </row>
    <row r="176" spans="1:39" ht="15" customHeight="1" x14ac:dyDescent="0.2">
      <c r="A176" s="51"/>
      <c r="B176" s="51"/>
      <c r="C176" s="51"/>
      <c r="F176" s="45"/>
      <c r="G176" s="537"/>
      <c r="H176" s="537"/>
      <c r="P176" s="24"/>
      <c r="Q176" s="87" t="s">
        <v>258</v>
      </c>
      <c r="R176" s="88" t="s">
        <v>259</v>
      </c>
      <c r="W176"/>
      <c r="AB176"/>
    </row>
    <row r="177" spans="1:50" ht="15" customHeight="1" thickBot="1" x14ac:dyDescent="0.25">
      <c r="A177" s="51"/>
      <c r="B177" s="51"/>
      <c r="C177" s="51"/>
      <c r="F177" s="45"/>
      <c r="G177" s="537"/>
      <c r="H177" s="537"/>
      <c r="P177" s="24"/>
      <c r="Q177" s="71">
        <f>VLOOKUP(Q172,'Экономический эффект'!$B$9:$F$179,4,FALSE)</f>
        <v>0</v>
      </c>
      <c r="R177" s="72">
        <f>VLOOKUP(Q172,'Экономический эффект'!$B$9:$F$179,5,FALSE)</f>
        <v>0</v>
      </c>
      <c r="W177"/>
      <c r="AB177"/>
    </row>
    <row r="178" spans="1:50" ht="15" customHeight="1" thickTop="1" thickBot="1" x14ac:dyDescent="0.25">
      <c r="A178" s="51"/>
      <c r="B178" s="51"/>
      <c r="C178" s="51"/>
      <c r="F178" s="45"/>
      <c r="G178" s="537"/>
      <c r="H178" s="537"/>
      <c r="P178" s="24"/>
      <c r="Q178" s="113" t="s">
        <v>493</v>
      </c>
      <c r="R178" s="114">
        <f>R177-Q177</f>
        <v>0</v>
      </c>
      <c r="W178"/>
      <c r="AB178"/>
    </row>
    <row r="179" spans="1:50" ht="15" customHeight="1" thickTop="1" thickBot="1" x14ac:dyDescent="0.25">
      <c r="A179" s="51"/>
      <c r="B179" s="51"/>
      <c r="C179" s="51"/>
      <c r="F179" s="45"/>
      <c r="G179" s="579"/>
      <c r="H179" s="579"/>
      <c r="P179" s="24"/>
      <c r="Q179" s="578" t="s">
        <v>506</v>
      </c>
      <c r="R179" s="578"/>
    </row>
    <row r="180" spans="1:50" ht="15" customHeight="1" thickTop="1" thickBot="1" x14ac:dyDescent="0.25">
      <c r="A180" s="51"/>
      <c r="B180" s="51"/>
      <c r="C180" s="51"/>
      <c r="F180" s="45"/>
      <c r="G180" s="564" t="s">
        <v>434</v>
      </c>
      <c r="H180" s="565"/>
      <c r="P180" s="24"/>
      <c r="Q180" s="579"/>
      <c r="R180" s="579"/>
    </row>
    <row r="181" spans="1:50" ht="26.75" customHeight="1" thickTop="1" x14ac:dyDescent="0.2">
      <c r="A181" s="51"/>
      <c r="B181" s="51"/>
      <c r="C181" s="51"/>
      <c r="F181" s="45"/>
      <c r="G181" s="566" t="s">
        <v>526</v>
      </c>
      <c r="H181" s="567"/>
      <c r="P181" s="24"/>
      <c r="Q181" s="564" t="s">
        <v>443</v>
      </c>
      <c r="R181" s="565"/>
      <c r="V181" s="560" t="s">
        <v>445</v>
      </c>
      <c r="W181" s="561"/>
      <c r="AA181" s="560" t="s">
        <v>448</v>
      </c>
      <c r="AB181" s="561"/>
    </row>
    <row r="182" spans="1:50" ht="23.75" customHeight="1" thickBot="1" x14ac:dyDescent="0.25">
      <c r="A182" s="51"/>
      <c r="B182" s="51"/>
      <c r="C182" s="51"/>
      <c r="F182" s="46"/>
      <c r="G182" s="568" t="s">
        <v>236</v>
      </c>
      <c r="H182" s="569"/>
      <c r="P182" s="24"/>
      <c r="Q182" s="566" t="s">
        <v>527</v>
      </c>
      <c r="R182" s="567"/>
      <c r="V182" s="572" t="s">
        <v>528</v>
      </c>
      <c r="W182" s="573"/>
      <c r="AA182" s="572" t="s">
        <v>529</v>
      </c>
      <c r="AB182" s="573"/>
    </row>
    <row r="183" spans="1:50" ht="24.5" customHeight="1" thickTop="1" thickBot="1" x14ac:dyDescent="0.25">
      <c r="A183" s="51"/>
      <c r="B183" s="51"/>
      <c r="C183" s="51"/>
      <c r="E183" s="39"/>
      <c r="F183" s="93"/>
      <c r="G183" s="568" t="s">
        <v>504</v>
      </c>
      <c r="H183" s="569"/>
      <c r="I183" s="617" t="s">
        <v>492</v>
      </c>
      <c r="J183" s="579"/>
      <c r="K183" s="579"/>
      <c r="L183" s="579"/>
      <c r="M183" s="579"/>
      <c r="N183" s="579"/>
      <c r="O183" s="618"/>
      <c r="P183" s="24"/>
      <c r="Q183" s="568" t="s">
        <v>236</v>
      </c>
      <c r="R183" s="569"/>
      <c r="S183" s="574" t="s">
        <v>492</v>
      </c>
      <c r="T183" s="575"/>
      <c r="U183" s="576"/>
      <c r="V183" s="570" t="s">
        <v>447</v>
      </c>
      <c r="W183" s="571"/>
      <c r="X183" s="577" t="s">
        <v>499</v>
      </c>
      <c r="Y183" s="575"/>
      <c r="Z183" s="576"/>
      <c r="AA183" s="570" t="s">
        <v>236</v>
      </c>
      <c r="AB183" s="571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</row>
    <row r="184" spans="1:50" ht="14.75" customHeight="1" thickTop="1" x14ac:dyDescent="0.2">
      <c r="A184" s="51"/>
      <c r="B184" s="51"/>
      <c r="C184" s="51"/>
      <c r="G184" s="87" t="s">
        <v>258</v>
      </c>
      <c r="H184" s="88" t="s">
        <v>259</v>
      </c>
      <c r="I184" s="102"/>
      <c r="J184" s="39"/>
      <c r="K184" s="39"/>
      <c r="N184" s="39"/>
      <c r="O184" s="39"/>
      <c r="P184" s="40"/>
      <c r="Q184" s="87" t="s">
        <v>482</v>
      </c>
      <c r="R184" s="88" t="s">
        <v>487</v>
      </c>
      <c r="S184" s="41"/>
      <c r="T184" s="42"/>
      <c r="U184" s="42"/>
      <c r="V184" s="85" t="s">
        <v>482</v>
      </c>
      <c r="W184" s="86" t="s">
        <v>501</v>
      </c>
      <c r="X184" s="42"/>
      <c r="Y184" s="42"/>
      <c r="Z184" s="42"/>
      <c r="AA184" s="85" t="s">
        <v>482</v>
      </c>
      <c r="AB184" s="86" t="s">
        <v>485</v>
      </c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</row>
    <row r="185" spans="1:50" ht="15" customHeight="1" thickBot="1" x14ac:dyDescent="0.25">
      <c r="A185" s="51"/>
      <c r="B185" s="51"/>
      <c r="C185" s="51"/>
      <c r="G185" s="71">
        <f>VLOOKUP(G180,'Экономический эффект'!$B$9:$F$179,4,FALSE)</f>
        <v>0</v>
      </c>
      <c r="H185" s="72">
        <f>VLOOKUP(G180,'Экономический эффект'!$B$9:$F$179,5,FALSE)</f>
        <v>0</v>
      </c>
      <c r="P185" s="24"/>
      <c r="Q185" s="87" t="s">
        <v>258</v>
      </c>
      <c r="R185" s="88" t="s">
        <v>259</v>
      </c>
      <c r="V185" s="85" t="s">
        <v>258</v>
      </c>
      <c r="W185" s="86" t="s">
        <v>259</v>
      </c>
      <c r="AA185" s="85" t="s">
        <v>258</v>
      </c>
      <c r="AB185" s="86" t="s">
        <v>259</v>
      </c>
    </row>
    <row r="186" spans="1:50" ht="15" customHeight="1" thickTop="1" thickBot="1" x14ac:dyDescent="0.25">
      <c r="A186" s="51"/>
      <c r="B186" s="51"/>
      <c r="C186" s="51"/>
      <c r="G186" s="113" t="s">
        <v>493</v>
      </c>
      <c r="H186" s="114">
        <f>(G185-H185)*'Чек-лист'!H187</f>
        <v>0</v>
      </c>
      <c r="P186" s="24"/>
      <c r="Q186" s="71">
        <f>VLOOKUP(Q181,'Экономический эффект'!$B$9:$F$179,4,FALSE)</f>
        <v>0</v>
      </c>
      <c r="R186" s="72">
        <f>VLOOKUP(Q181,'Экономический эффект'!$B$9:$F$179,5,FALSE)</f>
        <v>0</v>
      </c>
      <c r="V186" s="73">
        <f>VLOOKUP(V181,'Экономический эффект'!$B$9:$F$179,4,FALSE)</f>
        <v>0</v>
      </c>
      <c r="W186" s="74">
        <f>VLOOKUP(V181,'Экономический эффект'!$B$9:$F$179,5,FALSE)</f>
        <v>0</v>
      </c>
      <c r="AA186" s="73">
        <f>VLOOKUP(AA181,'Экономический эффект'!$B$9:$F$179,4,FALSE)</f>
        <v>0</v>
      </c>
      <c r="AB186" s="74">
        <f>VLOOKUP(AA181,'Экономический эффект'!$B$9:$F$179,5,FALSE)</f>
        <v>0</v>
      </c>
    </row>
    <row r="187" spans="1:50" ht="15" customHeight="1" thickTop="1" thickBot="1" x14ac:dyDescent="0.25">
      <c r="A187" s="51"/>
      <c r="B187" s="51"/>
      <c r="C187" s="51"/>
      <c r="G187" s="4"/>
      <c r="H187" s="4"/>
      <c r="P187" s="24"/>
      <c r="Q187" s="113" t="s">
        <v>493</v>
      </c>
      <c r="R187" s="114">
        <f>Q186-R186</f>
        <v>0</v>
      </c>
      <c r="V187" s="113" t="s">
        <v>493</v>
      </c>
      <c r="W187" s="114">
        <f>V186-W186</f>
        <v>0</v>
      </c>
    </row>
    <row r="188" spans="1:50" ht="15" customHeight="1" thickTop="1" x14ac:dyDescent="0.2">
      <c r="A188" s="51"/>
      <c r="B188" s="51"/>
      <c r="C188" s="51"/>
      <c r="G188" s="4"/>
      <c r="H188" s="4"/>
      <c r="P188" s="24"/>
      <c r="Q188" s="578" t="s">
        <v>506</v>
      </c>
      <c r="R188" s="578"/>
    </row>
    <row r="189" spans="1:50" ht="15" customHeight="1" thickBot="1" x14ac:dyDescent="0.25">
      <c r="A189" s="51"/>
      <c r="B189" s="51"/>
      <c r="C189" s="51"/>
      <c r="G189" s="4"/>
      <c r="H189" s="4"/>
      <c r="P189" s="24"/>
      <c r="Q189" s="579"/>
      <c r="R189" s="579"/>
    </row>
    <row r="190" spans="1:50" ht="26.75" customHeight="1" thickTop="1" x14ac:dyDescent="0.2">
      <c r="A190" s="51"/>
      <c r="B190" s="51"/>
      <c r="C190" s="51"/>
      <c r="G190" s="4"/>
      <c r="H190" s="4"/>
      <c r="P190" s="24"/>
      <c r="Q190" s="564" t="s">
        <v>450</v>
      </c>
      <c r="R190" s="565"/>
      <c r="V190" s="560" t="s">
        <v>452</v>
      </c>
      <c r="W190" s="561"/>
      <c r="AA190" s="560" t="s">
        <v>454</v>
      </c>
      <c r="AB190" s="561"/>
    </row>
    <row r="191" spans="1:50" ht="24.5" customHeight="1" x14ac:dyDescent="0.2">
      <c r="A191" s="51"/>
      <c r="B191" s="51"/>
      <c r="C191" s="51"/>
      <c r="G191" s="4"/>
      <c r="H191" s="4"/>
      <c r="P191" s="24"/>
      <c r="Q191" s="566" t="s">
        <v>530</v>
      </c>
      <c r="R191" s="567"/>
      <c r="V191" s="572" t="s">
        <v>531</v>
      </c>
      <c r="W191" s="573"/>
      <c r="AA191" s="572" t="s">
        <v>532</v>
      </c>
      <c r="AB191" s="573"/>
    </row>
    <row r="192" spans="1:50" s="39" customFormat="1" ht="25" thickBot="1" x14ac:dyDescent="0.25">
      <c r="A192" s="51"/>
      <c r="B192" s="51"/>
      <c r="C192" s="51"/>
      <c r="E192"/>
      <c r="F192"/>
      <c r="G192" s="4"/>
      <c r="H192" s="4"/>
      <c r="I192"/>
      <c r="J192"/>
      <c r="K192"/>
      <c r="L192"/>
      <c r="M192" s="1"/>
      <c r="N192"/>
      <c r="O192"/>
      <c r="P192" s="24"/>
      <c r="Q192" s="568" t="s">
        <v>236</v>
      </c>
      <c r="R192" s="569"/>
      <c r="S192" s="574" t="s">
        <v>492</v>
      </c>
      <c r="T192" s="575"/>
      <c r="U192" s="576"/>
      <c r="V192" s="570" t="s">
        <v>447</v>
      </c>
      <c r="W192" s="571"/>
      <c r="X192" s="577" t="s">
        <v>499</v>
      </c>
      <c r="Y192" s="575"/>
      <c r="Z192" s="576"/>
      <c r="AA192" s="570" t="s">
        <v>236</v>
      </c>
      <c r="AB192" s="57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</row>
    <row r="193" spans="1:28" ht="14.75" customHeight="1" thickTop="1" x14ac:dyDescent="0.2">
      <c r="A193" s="51"/>
      <c r="B193" s="51"/>
      <c r="C193" s="51"/>
      <c r="G193" s="4"/>
      <c r="H193" s="4"/>
      <c r="P193" s="26"/>
      <c r="Q193" s="87" t="s">
        <v>482</v>
      </c>
      <c r="R193" s="88" t="s">
        <v>498</v>
      </c>
      <c r="S193" s="27"/>
      <c r="T193" s="28"/>
      <c r="U193" s="28"/>
      <c r="V193" s="85" t="s">
        <v>482</v>
      </c>
      <c r="W193" s="86" t="s">
        <v>494</v>
      </c>
      <c r="X193" s="28"/>
      <c r="Y193" s="28"/>
      <c r="Z193" s="28"/>
      <c r="AA193" s="85" t="s">
        <v>482</v>
      </c>
      <c r="AB193" s="86" t="s">
        <v>494</v>
      </c>
    </row>
    <row r="194" spans="1:28" ht="15" customHeight="1" x14ac:dyDescent="0.2">
      <c r="A194" s="51"/>
      <c r="B194" s="51"/>
      <c r="C194" s="51"/>
      <c r="G194" s="4"/>
      <c r="H194" s="4"/>
      <c r="P194" s="24"/>
      <c r="Q194" s="87" t="s">
        <v>258</v>
      </c>
      <c r="R194" s="88" t="s">
        <v>259</v>
      </c>
      <c r="V194" s="85" t="s">
        <v>258</v>
      </c>
      <c r="W194" s="86" t="s">
        <v>259</v>
      </c>
      <c r="AA194" s="85" t="s">
        <v>258</v>
      </c>
      <c r="AB194" s="86" t="s">
        <v>259</v>
      </c>
    </row>
    <row r="195" spans="1:28" ht="14" customHeight="1" thickBot="1" x14ac:dyDescent="0.25">
      <c r="A195" s="51"/>
      <c r="B195" s="51"/>
      <c r="C195" s="51"/>
      <c r="G195" s="4"/>
      <c r="H195" s="4"/>
      <c r="P195" s="24"/>
      <c r="Q195" s="71">
        <f>VLOOKUP(Q190,'Экономический эффект'!$B$9:$F$179,4,FALSE)</f>
        <v>0</v>
      </c>
      <c r="R195" s="72">
        <f>VLOOKUP(Q190,'Экономический эффект'!$B$9:$F$179,5,FALSE)</f>
        <v>0</v>
      </c>
      <c r="V195" s="73">
        <f>VLOOKUP(V190,'Экономический эффект'!$B$9:$F$179,4,FALSE)</f>
        <v>0</v>
      </c>
      <c r="W195" s="74">
        <f>VLOOKUP(V190,'Экономический эффект'!$B$9:$F$179,5,FALSE)</f>
        <v>0</v>
      </c>
      <c r="AA195" s="73">
        <f>VLOOKUP(AA190,'Экономический эффект'!$B$9:$F$179,4,FALSE)</f>
        <v>0</v>
      </c>
      <c r="AB195" s="74">
        <f>VLOOKUP(AA190,'Экономический эффект'!$B$9:$F$179,5,FALSE)</f>
        <v>0</v>
      </c>
    </row>
    <row r="196" spans="1:28" ht="14" customHeight="1" thickTop="1" thickBot="1" x14ac:dyDescent="0.25">
      <c r="A196" s="51"/>
      <c r="B196" s="51"/>
      <c r="C196" s="51"/>
      <c r="G196" s="4"/>
      <c r="H196" s="4"/>
      <c r="P196" s="24"/>
      <c r="Q196" s="113" t="s">
        <v>493</v>
      </c>
      <c r="R196" s="114">
        <f>Q195-R195</f>
        <v>0</v>
      </c>
      <c r="V196" s="113" t="s">
        <v>493</v>
      </c>
      <c r="W196" s="114">
        <f>V195-W195</f>
        <v>0</v>
      </c>
    </row>
    <row r="197" spans="1:28" ht="14" customHeight="1" thickTop="1" x14ac:dyDescent="0.2">
      <c r="A197" s="51"/>
      <c r="B197" s="51"/>
      <c r="C197" s="51"/>
      <c r="G197" s="4"/>
      <c r="H197" s="4"/>
      <c r="P197" s="24"/>
      <c r="Q197" s="578" t="s">
        <v>506</v>
      </c>
      <c r="R197" s="578"/>
    </row>
    <row r="198" spans="1:28" ht="15" customHeight="1" thickBot="1" x14ac:dyDescent="0.25">
      <c r="A198" s="51"/>
      <c r="B198" s="51"/>
      <c r="C198" s="51"/>
      <c r="G198" s="4"/>
      <c r="H198" s="4"/>
      <c r="P198" s="24"/>
      <c r="Q198" s="579"/>
      <c r="R198" s="579"/>
    </row>
    <row r="199" spans="1:28" ht="26.75" customHeight="1" thickTop="1" x14ac:dyDescent="0.2">
      <c r="A199" s="51"/>
      <c r="B199" s="51"/>
      <c r="C199" s="51"/>
      <c r="G199" s="4"/>
      <c r="H199" s="4"/>
      <c r="P199" s="24"/>
      <c r="Q199" s="564" t="s">
        <v>456</v>
      </c>
      <c r="R199" s="565"/>
      <c r="V199" s="560" t="s">
        <v>458</v>
      </c>
      <c r="W199" s="561"/>
      <c r="AA199" s="560" t="s">
        <v>460</v>
      </c>
      <c r="AB199" s="561"/>
    </row>
    <row r="200" spans="1:28" ht="24" customHeight="1" x14ac:dyDescent="0.2">
      <c r="A200" s="51"/>
      <c r="B200" s="51"/>
      <c r="C200" s="51"/>
      <c r="G200" s="4"/>
      <c r="H200" s="4"/>
      <c r="P200" s="24"/>
      <c r="Q200" s="566" t="s">
        <v>533</v>
      </c>
      <c r="R200" s="567"/>
      <c r="V200" s="572" t="s">
        <v>534</v>
      </c>
      <c r="W200" s="573"/>
      <c r="AA200" s="572" t="s">
        <v>535</v>
      </c>
      <c r="AB200" s="573"/>
    </row>
    <row r="201" spans="1:28" ht="25" thickBot="1" x14ac:dyDescent="0.25">
      <c r="A201" s="51"/>
      <c r="B201" s="51"/>
      <c r="C201" s="51"/>
      <c r="G201" s="4"/>
      <c r="H201" s="4"/>
      <c r="P201" s="25"/>
      <c r="Q201" s="568" t="s">
        <v>236</v>
      </c>
      <c r="R201" s="569"/>
      <c r="S201" s="574" t="s">
        <v>492</v>
      </c>
      <c r="T201" s="575"/>
      <c r="U201" s="576"/>
      <c r="V201" s="570" t="s">
        <v>447</v>
      </c>
      <c r="W201" s="571"/>
      <c r="X201" s="577" t="s">
        <v>499</v>
      </c>
      <c r="Y201" s="575"/>
      <c r="Z201" s="576"/>
      <c r="AA201" s="570" t="s">
        <v>236</v>
      </c>
      <c r="AB201" s="571"/>
    </row>
    <row r="202" spans="1:28" ht="14.75" customHeight="1" thickTop="1" x14ac:dyDescent="0.2">
      <c r="A202" s="51"/>
      <c r="B202" s="51"/>
      <c r="C202" s="51"/>
      <c r="G202" s="4"/>
      <c r="H202" s="4"/>
      <c r="Q202" s="87" t="s">
        <v>482</v>
      </c>
      <c r="R202" s="88" t="s">
        <v>487</v>
      </c>
      <c r="S202" s="27"/>
      <c r="T202" s="28"/>
      <c r="U202" s="28"/>
      <c r="V202" s="85" t="s">
        <v>482</v>
      </c>
      <c r="W202" s="86" t="s">
        <v>501</v>
      </c>
      <c r="X202" s="28"/>
      <c r="Y202" s="28"/>
      <c r="Z202" s="28"/>
      <c r="AA202" s="570" t="s">
        <v>482</v>
      </c>
      <c r="AB202" s="571"/>
    </row>
    <row r="203" spans="1:28" ht="15" customHeight="1" x14ac:dyDescent="0.2">
      <c r="A203" s="51"/>
      <c r="B203" s="51"/>
      <c r="C203" s="51"/>
      <c r="G203" s="4"/>
      <c r="H203" s="4"/>
      <c r="Q203" s="87" t="s">
        <v>258</v>
      </c>
      <c r="R203" s="88" t="s">
        <v>259</v>
      </c>
      <c r="V203" s="85" t="s">
        <v>258</v>
      </c>
      <c r="W203" s="86" t="s">
        <v>259</v>
      </c>
      <c r="AA203" s="85" t="s">
        <v>258</v>
      </c>
      <c r="AB203" s="86" t="s">
        <v>259</v>
      </c>
    </row>
    <row r="204" spans="1:28" ht="15" customHeight="1" thickBot="1" x14ac:dyDescent="0.25">
      <c r="A204" s="51"/>
      <c r="B204" s="51"/>
      <c r="C204" s="51"/>
      <c r="G204" s="4"/>
      <c r="H204" s="4"/>
      <c r="Q204" s="71">
        <f>VLOOKUP(Q199,'Экономический эффект'!$B$9:$F$179,4,FALSE)</f>
        <v>0</v>
      </c>
      <c r="R204" s="72">
        <f>VLOOKUP(Q199,'Экономический эффект'!$B$9:$F$179,5,FALSE)</f>
        <v>0</v>
      </c>
      <c r="V204" s="73">
        <f>VLOOKUP(V199,'Экономический эффект'!$B$9:$F$179,4,FALSE)</f>
        <v>0</v>
      </c>
      <c r="W204" s="74">
        <f>VLOOKUP(V199,'Экономический эффект'!$B$9:$F$179,5,FALSE)</f>
        <v>0</v>
      </c>
      <c r="AA204" s="73">
        <f>VLOOKUP(AA199,'Экономический эффект'!$B$9:$F$179,4,FALSE)</f>
        <v>0</v>
      </c>
      <c r="AB204" s="74">
        <f>VLOOKUP(AA199,'Экономический эффект'!$B$9:$F$179,5,FALSE)</f>
        <v>0</v>
      </c>
    </row>
    <row r="205" spans="1:28" ht="15" customHeight="1" thickTop="1" thickBot="1" x14ac:dyDescent="0.25">
      <c r="A205" s="51"/>
      <c r="B205" s="51"/>
      <c r="C205" s="51"/>
      <c r="G205" s="4"/>
      <c r="H205" s="4"/>
      <c r="Q205" s="113" t="s">
        <v>493</v>
      </c>
      <c r="R205" s="114">
        <f>Q204-R204</f>
        <v>0</v>
      </c>
      <c r="V205" s="113" t="s">
        <v>493</v>
      </c>
      <c r="W205" s="114">
        <f>V204-W204</f>
        <v>0</v>
      </c>
    </row>
    <row r="206" spans="1:28" ht="15" customHeight="1" thickTop="1" x14ac:dyDescent="0.2">
      <c r="A206" s="51"/>
      <c r="B206" s="51"/>
      <c r="C206" s="51"/>
    </row>
    <row r="207" spans="1:28" ht="15" customHeight="1" x14ac:dyDescent="0.2">
      <c r="A207" s="51"/>
      <c r="B207" s="51"/>
      <c r="C207" s="51"/>
    </row>
    <row r="208" spans="1:28" ht="27.5" customHeight="1" x14ac:dyDescent="0.2">
      <c r="A208" s="51"/>
      <c r="B208" s="51"/>
      <c r="C208" s="51"/>
    </row>
    <row r="209" spans="1:3" ht="24.5" customHeight="1" x14ac:dyDescent="0.2">
      <c r="A209" s="51"/>
      <c r="B209" s="51"/>
      <c r="C209" s="51"/>
    </row>
    <row r="210" spans="1:3" ht="27.5" customHeight="1" x14ac:dyDescent="0.2">
      <c r="A210" s="51"/>
      <c r="B210" s="51"/>
      <c r="C210" s="51"/>
    </row>
    <row r="211" spans="1:3" ht="14.75" customHeight="1" x14ac:dyDescent="0.2">
      <c r="A211" s="51"/>
      <c r="B211" s="51"/>
      <c r="C211" s="51"/>
    </row>
    <row r="212" spans="1:3" ht="15" customHeight="1" x14ac:dyDescent="0.2">
      <c r="A212" s="51"/>
      <c r="B212" s="51"/>
      <c r="C212" s="51"/>
    </row>
    <row r="213" spans="1:3" ht="15.5" customHeight="1" x14ac:dyDescent="0.2">
      <c r="A213" s="51"/>
      <c r="B213" s="51"/>
      <c r="C213" s="51"/>
    </row>
    <row r="214" spans="1:3" ht="15" customHeight="1" x14ac:dyDescent="0.2">
      <c r="A214" s="51"/>
      <c r="B214" s="51"/>
      <c r="C214" s="51"/>
    </row>
    <row r="215" spans="1:3" ht="19" x14ac:dyDescent="0.2">
      <c r="B215" s="51"/>
      <c r="C215" s="51"/>
    </row>
  </sheetData>
  <mergeCells count="329">
    <mergeCell ref="AF56:AG56"/>
    <mergeCell ref="AK56:AL56"/>
    <mergeCell ref="Q57:R57"/>
    <mergeCell ref="AA57:AB57"/>
    <mergeCell ref="AF57:AG57"/>
    <mergeCell ref="AK57:AL57"/>
    <mergeCell ref="Q58:R58"/>
    <mergeCell ref="AA58:AB58"/>
    <mergeCell ref="AF58:AG58"/>
    <mergeCell ref="AK58:AL58"/>
    <mergeCell ref="V56:W56"/>
    <mergeCell ref="V57:W57"/>
    <mergeCell ref="V58:W58"/>
    <mergeCell ref="AF74:AG74"/>
    <mergeCell ref="AK74:AL74"/>
    <mergeCell ref="Q75:R75"/>
    <mergeCell ref="AA75:AB75"/>
    <mergeCell ref="AF75:AG75"/>
    <mergeCell ref="AK75:AL75"/>
    <mergeCell ref="Q76:R76"/>
    <mergeCell ref="AA76:AB76"/>
    <mergeCell ref="AF76:AG76"/>
    <mergeCell ref="AK76:AL76"/>
    <mergeCell ref="AF66:AG66"/>
    <mergeCell ref="AK66:AL66"/>
    <mergeCell ref="Q65:R65"/>
    <mergeCell ref="AA65:AB65"/>
    <mergeCell ref="AF65:AG65"/>
    <mergeCell ref="AK65:AL65"/>
    <mergeCell ref="Q67:R67"/>
    <mergeCell ref="AA67:AB67"/>
    <mergeCell ref="AF67:AG67"/>
    <mergeCell ref="AK67:AL67"/>
    <mergeCell ref="AK47:AL47"/>
    <mergeCell ref="AK48:AL48"/>
    <mergeCell ref="AK49:AL49"/>
    <mergeCell ref="AK38:AL38"/>
    <mergeCell ref="AK39:AL39"/>
    <mergeCell ref="AK40:AL40"/>
    <mergeCell ref="AK41:AL41"/>
    <mergeCell ref="L38:M38"/>
    <mergeCell ref="L39:M39"/>
    <mergeCell ref="L40:M40"/>
    <mergeCell ref="AA38:AB38"/>
    <mergeCell ref="AF38:AG38"/>
    <mergeCell ref="AA39:AB39"/>
    <mergeCell ref="AF39:AG39"/>
    <mergeCell ref="AA47:AB47"/>
    <mergeCell ref="AF40:AG40"/>
    <mergeCell ref="AF48:AG48"/>
    <mergeCell ref="AF47:AG47"/>
    <mergeCell ref="AF49:AG49"/>
    <mergeCell ref="G150:H179"/>
    <mergeCell ref="Q147:R147"/>
    <mergeCell ref="AA22:AB22"/>
    <mergeCell ref="AA23:AB23"/>
    <mergeCell ref="AA24:AB24"/>
    <mergeCell ref="V26:W26"/>
    <mergeCell ref="V27:W27"/>
    <mergeCell ref="V28:W28"/>
    <mergeCell ref="AA30:AB30"/>
    <mergeCell ref="AA31:AB31"/>
    <mergeCell ref="AA32:AB32"/>
    <mergeCell ref="V38:W38"/>
    <mergeCell ref="V39:W39"/>
    <mergeCell ref="V40:W40"/>
    <mergeCell ref="AA40:AB40"/>
    <mergeCell ref="Q66:R66"/>
    <mergeCell ref="AA66:AB66"/>
    <mergeCell ref="Q56:R56"/>
    <mergeCell ref="AA56:AB56"/>
    <mergeCell ref="Q74:R74"/>
    <mergeCell ref="AA74:AB74"/>
    <mergeCell ref="V33:W37"/>
    <mergeCell ref="V45:W55"/>
    <mergeCell ref="AA29:AB29"/>
    <mergeCell ref="AF1:AH1"/>
    <mergeCell ref="Q135:R135"/>
    <mergeCell ref="L136:M136"/>
    <mergeCell ref="Q136:R136"/>
    <mergeCell ref="C3:L3"/>
    <mergeCell ref="C4:L4"/>
    <mergeCell ref="C5:L6"/>
    <mergeCell ref="C7:L9"/>
    <mergeCell ref="B131:C131"/>
    <mergeCell ref="B132:C132"/>
    <mergeCell ref="I127:J127"/>
    <mergeCell ref="C32:D32"/>
    <mergeCell ref="Q8:R8"/>
    <mergeCell ref="AB3:AC3"/>
    <mergeCell ref="AD3:AH3"/>
    <mergeCell ref="AB5:AC5"/>
    <mergeCell ref="AD5:AH5"/>
    <mergeCell ref="AB6:AC7"/>
    <mergeCell ref="AD6:AH7"/>
    <mergeCell ref="AB4:AC4"/>
    <mergeCell ref="AD4:AH4"/>
    <mergeCell ref="V84:W84"/>
    <mergeCell ref="V125:W125"/>
    <mergeCell ref="V85:W85"/>
    <mergeCell ref="B138:B139"/>
    <mergeCell ref="C138:C139"/>
    <mergeCell ref="Q39:R39"/>
    <mergeCell ref="Q40:R40"/>
    <mergeCell ref="S40:T40"/>
    <mergeCell ref="Q47:R47"/>
    <mergeCell ref="Q48:R48"/>
    <mergeCell ref="Q49:R49"/>
    <mergeCell ref="B129:C129"/>
    <mergeCell ref="L91:M107"/>
    <mergeCell ref="I137:K137"/>
    <mergeCell ref="G139:H139"/>
    <mergeCell ref="L86:M86"/>
    <mergeCell ref="N86:O86"/>
    <mergeCell ref="B130:C130"/>
    <mergeCell ref="S86:U86"/>
    <mergeCell ref="L125:M125"/>
    <mergeCell ref="Q125:R125"/>
    <mergeCell ref="L84:M84"/>
    <mergeCell ref="Q84:R84"/>
    <mergeCell ref="G140:H140"/>
    <mergeCell ref="G141:H141"/>
    <mergeCell ref="G142:H142"/>
    <mergeCell ref="I143:J143"/>
    <mergeCell ref="B144:B145"/>
    <mergeCell ref="C144:C145"/>
    <mergeCell ref="G132:H138"/>
    <mergeCell ref="Q197:R198"/>
    <mergeCell ref="B141:B142"/>
    <mergeCell ref="C141:C142"/>
    <mergeCell ref="L151:M152"/>
    <mergeCell ref="Q170:R171"/>
    <mergeCell ref="Q179:R180"/>
    <mergeCell ref="L154:M154"/>
    <mergeCell ref="L155:M155"/>
    <mergeCell ref="L156:M156"/>
    <mergeCell ref="Q165:R165"/>
    <mergeCell ref="Q164:R164"/>
    <mergeCell ref="Q163:R163"/>
    <mergeCell ref="G180:H180"/>
    <mergeCell ref="Q181:R181"/>
    <mergeCell ref="I183:O183"/>
    <mergeCell ref="G183:H183"/>
    <mergeCell ref="G181:H181"/>
    <mergeCell ref="G182:H182"/>
    <mergeCell ref="S9:T9"/>
    <mergeCell ref="Q7:R7"/>
    <mergeCell ref="L12:M12"/>
    <mergeCell ref="L153:M153"/>
    <mergeCell ref="G128:H128"/>
    <mergeCell ref="Q14:R14"/>
    <mergeCell ref="L13:M13"/>
    <mergeCell ref="L11:M11"/>
    <mergeCell ref="Q15:R15"/>
    <mergeCell ref="Q16:R16"/>
    <mergeCell ref="I28:J28"/>
    <mergeCell ref="Q38:R38"/>
    <mergeCell ref="Q17:R17"/>
    <mergeCell ref="L108:M108"/>
    <mergeCell ref="Q108:R108"/>
    <mergeCell ref="Q9:R9"/>
    <mergeCell ref="G34:H124"/>
    <mergeCell ref="G126:H126"/>
    <mergeCell ref="G127:H127"/>
    <mergeCell ref="G28:H28"/>
    <mergeCell ref="G26:H26"/>
    <mergeCell ref="G27:H27"/>
    <mergeCell ref="G29:H29"/>
    <mergeCell ref="X146:Z146"/>
    <mergeCell ref="AA147:AB147"/>
    <mergeCell ref="AA144:AB144"/>
    <mergeCell ref="AA145:AB145"/>
    <mergeCell ref="AA146:AB146"/>
    <mergeCell ref="L144:M144"/>
    <mergeCell ref="L145:M145"/>
    <mergeCell ref="L146:M146"/>
    <mergeCell ref="S146:U146"/>
    <mergeCell ref="Q144:R144"/>
    <mergeCell ref="Q145:R145"/>
    <mergeCell ref="Q146:R146"/>
    <mergeCell ref="N146:P146"/>
    <mergeCell ref="AA85:AB85"/>
    <mergeCell ref="L85:M85"/>
    <mergeCell ref="Q85:R85"/>
    <mergeCell ref="AA84:AB84"/>
    <mergeCell ref="Q45:R46"/>
    <mergeCell ref="AA48:AB48"/>
    <mergeCell ref="AA49:AB49"/>
    <mergeCell ref="V3:W3"/>
    <mergeCell ref="V11:W11"/>
    <mergeCell ref="V10:W10"/>
    <mergeCell ref="V4:W4"/>
    <mergeCell ref="V5:W5"/>
    <mergeCell ref="X5:Z5"/>
    <mergeCell ref="V12:W12"/>
    <mergeCell ref="V13:W13"/>
    <mergeCell ref="L18:M37"/>
    <mergeCell ref="V86:W86"/>
    <mergeCell ref="X86:Z86"/>
    <mergeCell ref="AA86:AB86"/>
    <mergeCell ref="Q86:R86"/>
    <mergeCell ref="G125:H125"/>
    <mergeCell ref="Q123:R123"/>
    <mergeCell ref="V123:W123"/>
    <mergeCell ref="AA123:AB123"/>
    <mergeCell ref="AA125:AB125"/>
    <mergeCell ref="Q116:R116"/>
    <mergeCell ref="V116:W116"/>
    <mergeCell ref="AA116:AB116"/>
    <mergeCell ref="Q117:R117"/>
    <mergeCell ref="V117:W117"/>
    <mergeCell ref="AA117:AB117"/>
    <mergeCell ref="N118:O118"/>
    <mergeCell ref="Q118:R118"/>
    <mergeCell ref="S118:U118"/>
    <mergeCell ref="V118:W118"/>
    <mergeCell ref="X118:Z118"/>
    <mergeCell ref="AA118:AB118"/>
    <mergeCell ref="AA108:AB108"/>
    <mergeCell ref="L109:M109"/>
    <mergeCell ref="Q109:R109"/>
    <mergeCell ref="V183:W183"/>
    <mergeCell ref="X183:Z183"/>
    <mergeCell ref="AA183:AB183"/>
    <mergeCell ref="Q182:R182"/>
    <mergeCell ref="V182:W182"/>
    <mergeCell ref="AA182:AB182"/>
    <mergeCell ref="Q183:R183"/>
    <mergeCell ref="V192:W192"/>
    <mergeCell ref="X192:Z192"/>
    <mergeCell ref="AA192:AB192"/>
    <mergeCell ref="Q190:R190"/>
    <mergeCell ref="V190:W190"/>
    <mergeCell ref="AA190:AB190"/>
    <mergeCell ref="Q188:R189"/>
    <mergeCell ref="AA181:AB181"/>
    <mergeCell ref="Q174:R174"/>
    <mergeCell ref="V138:W138"/>
    <mergeCell ref="L143:M143"/>
    <mergeCell ref="L138:M138"/>
    <mergeCell ref="Q138:R138"/>
    <mergeCell ref="AA202:AB202"/>
    <mergeCell ref="Q200:R200"/>
    <mergeCell ref="V200:W200"/>
    <mergeCell ref="AA200:AB200"/>
    <mergeCell ref="Q201:R201"/>
    <mergeCell ref="S201:U201"/>
    <mergeCell ref="V201:W201"/>
    <mergeCell ref="X201:Z201"/>
    <mergeCell ref="AA201:AB201"/>
    <mergeCell ref="Q199:R199"/>
    <mergeCell ref="V199:W199"/>
    <mergeCell ref="AA199:AB199"/>
    <mergeCell ref="Q191:R191"/>
    <mergeCell ref="V191:W191"/>
    <mergeCell ref="AA191:AB191"/>
    <mergeCell ref="Q192:R192"/>
    <mergeCell ref="S192:U192"/>
    <mergeCell ref="S183:U183"/>
    <mergeCell ref="V136:W136"/>
    <mergeCell ref="L137:M137"/>
    <mergeCell ref="N137:P137"/>
    <mergeCell ref="Q137:R137"/>
    <mergeCell ref="S137:U137"/>
    <mergeCell ref="V137:W137"/>
    <mergeCell ref="V181:W181"/>
    <mergeCell ref="V144:W144"/>
    <mergeCell ref="V145:W145"/>
    <mergeCell ref="V146:W146"/>
    <mergeCell ref="Q172:R172"/>
    <mergeCell ref="Q173:R173"/>
    <mergeCell ref="AA109:AB109"/>
    <mergeCell ref="L110:M110"/>
    <mergeCell ref="N110:O110"/>
    <mergeCell ref="Q110:R110"/>
    <mergeCell ref="S110:U110"/>
    <mergeCell ref="V110:W110"/>
    <mergeCell ref="X110:Z110"/>
    <mergeCell ref="AA110:AB110"/>
    <mergeCell ref="V135:W135"/>
    <mergeCell ref="AA127:AB127"/>
    <mergeCell ref="L128:M128"/>
    <mergeCell ref="Q128:R128"/>
    <mergeCell ref="AA128:AB128"/>
    <mergeCell ref="L126:M126"/>
    <mergeCell ref="Q126:R126"/>
    <mergeCell ref="V126:W126"/>
    <mergeCell ref="AA126:AB126"/>
    <mergeCell ref="L127:M127"/>
    <mergeCell ref="X127:Z127"/>
    <mergeCell ref="Q127:R127"/>
    <mergeCell ref="N127:P127"/>
    <mergeCell ref="S127:U127"/>
    <mergeCell ref="V127:W127"/>
    <mergeCell ref="L135:M135"/>
    <mergeCell ref="AA100:AB100"/>
    <mergeCell ref="Q101:R101"/>
    <mergeCell ref="V101:W101"/>
    <mergeCell ref="AA101:AB101"/>
    <mergeCell ref="N102:O102"/>
    <mergeCell ref="Q102:R102"/>
    <mergeCell ref="S102:U102"/>
    <mergeCell ref="V102:W102"/>
    <mergeCell ref="X102:Z102"/>
    <mergeCell ref="AA102:AB102"/>
    <mergeCell ref="V103:W103"/>
    <mergeCell ref="V111:W111"/>
    <mergeCell ref="V119:W119"/>
    <mergeCell ref="L115:M124"/>
    <mergeCell ref="Q107:R107"/>
    <mergeCell ref="Q115:R115"/>
    <mergeCell ref="Q99:R99"/>
    <mergeCell ref="Q92:R92"/>
    <mergeCell ref="V92:W92"/>
    <mergeCell ref="V95:W95"/>
    <mergeCell ref="Q100:R100"/>
    <mergeCell ref="V100:W100"/>
    <mergeCell ref="V108:W108"/>
    <mergeCell ref="V109:W109"/>
    <mergeCell ref="AA92:AB92"/>
    <mergeCell ref="Q93:R93"/>
    <mergeCell ref="V93:W93"/>
    <mergeCell ref="AA93:AB93"/>
    <mergeCell ref="N94:O94"/>
    <mergeCell ref="Q94:R94"/>
    <mergeCell ref="S94:U94"/>
    <mergeCell ref="V94:W94"/>
    <mergeCell ref="X94:Z94"/>
    <mergeCell ref="AA94:AB94"/>
  </mergeCells>
  <conditionalFormatting sqref="M16">
    <cfRule type="cellIs" dxfId="100" priority="438" operator="lessThan">
      <formula>L16</formula>
    </cfRule>
    <cfRule type="cellIs" dxfId="99" priority="439" operator="greaterThanOrEqual">
      <formula>L16</formula>
    </cfRule>
  </conditionalFormatting>
  <conditionalFormatting sqref="H31">
    <cfRule type="cellIs" dxfId="98" priority="416" operator="lessThan">
      <formula>G31</formula>
    </cfRule>
    <cfRule type="cellIs" dxfId="97" priority="417" operator="greaterThanOrEqual">
      <formula>G31</formula>
    </cfRule>
  </conditionalFormatting>
  <conditionalFormatting sqref="R89">
    <cfRule type="cellIs" dxfId="96" priority="378" operator="lessThan">
      <formula>Q89</formula>
    </cfRule>
    <cfRule type="cellIs" dxfId="95" priority="379" operator="greaterThanOrEqual">
      <formula>Q89</formula>
    </cfRule>
  </conditionalFormatting>
  <conditionalFormatting sqref="W89">
    <cfRule type="cellIs" dxfId="94" priority="368" operator="greaterThan">
      <formula>V89</formula>
    </cfRule>
    <cfRule type="cellIs" dxfId="93" priority="369" operator="lessThanOrEqual">
      <formula>V89</formula>
    </cfRule>
  </conditionalFormatting>
  <conditionalFormatting sqref="AB89">
    <cfRule type="cellIs" dxfId="92" priority="366" operator="greaterThan">
      <formula>AA89</formula>
    </cfRule>
    <cfRule type="cellIs" dxfId="91" priority="367" operator="lessThanOrEqual">
      <formula>AA89</formula>
    </cfRule>
  </conditionalFormatting>
  <conditionalFormatting sqref="R130">
    <cfRule type="cellIs" dxfId="90" priority="306" operator="greaterThan">
      <formula>Q130</formula>
    </cfRule>
    <cfRule type="cellIs" dxfId="89" priority="307" operator="lessThanOrEqual">
      <formula>Q130</formula>
    </cfRule>
  </conditionalFormatting>
  <conditionalFormatting sqref="W130">
    <cfRule type="cellIs" dxfId="88" priority="304" operator="greaterThan">
      <formula>V130</formula>
    </cfRule>
    <cfRule type="cellIs" dxfId="87" priority="305" operator="lessThanOrEqual">
      <formula>V130</formula>
    </cfRule>
  </conditionalFormatting>
  <conditionalFormatting sqref="AB130">
    <cfRule type="cellIs" dxfId="86" priority="302" operator="greaterThan">
      <formula>AA130</formula>
    </cfRule>
    <cfRule type="cellIs" dxfId="85" priority="303" operator="lessThanOrEqual">
      <formula>AA130</formula>
    </cfRule>
  </conditionalFormatting>
  <conditionalFormatting sqref="R168">
    <cfRule type="cellIs" dxfId="84" priority="270" operator="greaterThan">
      <formula>Q168</formula>
    </cfRule>
    <cfRule type="cellIs" dxfId="83" priority="271" operator="lessThanOrEqual">
      <formula>Q168</formula>
    </cfRule>
  </conditionalFormatting>
  <conditionalFormatting sqref="R186">
    <cfRule type="cellIs" dxfId="82" priority="268" operator="greaterThan">
      <formula>Q186</formula>
    </cfRule>
    <cfRule type="cellIs" dxfId="81" priority="269" operator="lessThanOrEqual">
      <formula>Q186</formula>
    </cfRule>
  </conditionalFormatting>
  <conditionalFormatting sqref="R195">
    <cfRule type="cellIs" dxfId="80" priority="266" operator="greaterThan">
      <formula>Q195</formula>
    </cfRule>
    <cfRule type="cellIs" dxfId="79" priority="267" operator="lessThanOrEqual">
      <formula>Q195</formula>
    </cfRule>
  </conditionalFormatting>
  <conditionalFormatting sqref="R204">
    <cfRule type="cellIs" dxfId="78" priority="264" operator="greaterThan">
      <formula>Q204</formula>
    </cfRule>
    <cfRule type="cellIs" dxfId="77" priority="265" operator="lessThanOrEqual">
      <formula>Q204</formula>
    </cfRule>
  </conditionalFormatting>
  <conditionalFormatting sqref="R177">
    <cfRule type="cellIs" dxfId="76" priority="262" operator="greaterThan">
      <formula>Q177</formula>
    </cfRule>
    <cfRule type="cellIs" dxfId="75" priority="263" operator="lessThanOrEqual">
      <formula>Q177</formula>
    </cfRule>
  </conditionalFormatting>
  <conditionalFormatting sqref="W186">
    <cfRule type="cellIs" dxfId="74" priority="250" operator="greaterThan">
      <formula>V186</formula>
    </cfRule>
    <cfRule type="cellIs" dxfId="73" priority="251" operator="lessThanOrEqual">
      <formula>V186</formula>
    </cfRule>
  </conditionalFormatting>
  <conditionalFormatting sqref="AB186">
    <cfRule type="cellIs" dxfId="72" priority="248" operator="greaterThan">
      <formula>AA186</formula>
    </cfRule>
    <cfRule type="cellIs" dxfId="71" priority="249" operator="lessThanOrEqual">
      <formula>AA186</formula>
    </cfRule>
  </conditionalFormatting>
  <conditionalFormatting sqref="W195">
    <cfRule type="cellIs" dxfId="70" priority="246" operator="greaterThan">
      <formula>V195</formula>
    </cfRule>
    <cfRule type="cellIs" dxfId="69" priority="247" operator="lessThanOrEqual">
      <formula>V195</formula>
    </cfRule>
  </conditionalFormatting>
  <conditionalFormatting sqref="AB195">
    <cfRule type="cellIs" dxfId="68" priority="244" operator="greaterThan">
      <formula>AA195</formula>
    </cfRule>
    <cfRule type="cellIs" dxfId="67" priority="245" operator="lessThanOrEqual">
      <formula>AA195</formula>
    </cfRule>
  </conditionalFormatting>
  <conditionalFormatting sqref="W204">
    <cfRule type="cellIs" dxfId="66" priority="242" operator="greaterThan">
      <formula>V204</formula>
    </cfRule>
    <cfRule type="cellIs" dxfId="65" priority="243" operator="lessThanOrEqual">
      <formula>V204</formula>
    </cfRule>
  </conditionalFormatting>
  <conditionalFormatting sqref="AB204">
    <cfRule type="cellIs" dxfId="64" priority="240" operator="greaterThan">
      <formula>AA204</formula>
    </cfRule>
    <cfRule type="cellIs" dxfId="63" priority="241" operator="lessThanOrEqual">
      <formula>AA204</formula>
    </cfRule>
  </conditionalFormatting>
  <conditionalFormatting sqref="H185">
    <cfRule type="cellIs" dxfId="62" priority="238" operator="greaterThan">
      <formula>G185</formula>
    </cfRule>
    <cfRule type="cellIs" dxfId="61" priority="239" operator="lessThanOrEqual">
      <formula>G185</formula>
    </cfRule>
  </conditionalFormatting>
  <conditionalFormatting sqref="H144">
    <cfRule type="cellIs" dxfId="60" priority="234" operator="lessThan">
      <formula>G144</formula>
    </cfRule>
    <cfRule type="cellIs" dxfId="59" priority="235" operator="greaterThanOrEqual">
      <formula>G144</formula>
    </cfRule>
  </conditionalFormatting>
  <conditionalFormatting sqref="M149">
    <cfRule type="cellIs" dxfId="58" priority="224" operator="lessThan">
      <formula>L149</formula>
    </cfRule>
    <cfRule type="cellIs" dxfId="57" priority="225" operator="greaterThanOrEqual">
      <formula>L149</formula>
    </cfRule>
  </conditionalFormatting>
  <conditionalFormatting sqref="W149">
    <cfRule type="cellIs" dxfId="56" priority="210" operator="greaterThan">
      <formula>V149</formula>
    </cfRule>
    <cfRule type="cellIs" dxfId="55" priority="211" operator="lessThanOrEqual">
      <formula>V149</formula>
    </cfRule>
  </conditionalFormatting>
  <conditionalFormatting sqref="AB149">
    <cfRule type="cellIs" dxfId="54" priority="208" operator="greaterThan">
      <formula>AA149</formula>
    </cfRule>
    <cfRule type="cellIs" dxfId="53" priority="209" operator="lessThanOrEqual">
      <formula>AA149</formula>
    </cfRule>
  </conditionalFormatting>
  <conditionalFormatting sqref="C134">
    <cfRule type="cellIs" dxfId="52" priority="172" operator="lessThan">
      <formula>B134</formula>
    </cfRule>
    <cfRule type="cellIs" dxfId="51" priority="173" operator="greaterThanOrEqual">
      <formula>B134</formula>
    </cfRule>
  </conditionalFormatting>
  <conditionalFormatting sqref="M140">
    <cfRule type="cellIs" dxfId="50" priority="106" operator="lessThan">
      <formula>L140</formula>
    </cfRule>
    <cfRule type="cellIs" dxfId="49" priority="107" operator="greaterThanOrEqual">
      <formula>L140</formula>
    </cfRule>
  </conditionalFormatting>
  <conditionalFormatting sqref="W140">
    <cfRule type="cellIs" dxfId="48" priority="100" operator="greaterThan">
      <formula>V140</formula>
    </cfRule>
    <cfRule type="cellIs" dxfId="47" priority="101" operator="lessThanOrEqual">
      <formula>V140</formula>
    </cfRule>
  </conditionalFormatting>
  <conditionalFormatting sqref="R105">
    <cfRule type="cellIs" dxfId="46" priority="70" operator="lessThan">
      <formula>Q105</formula>
    </cfRule>
    <cfRule type="cellIs" dxfId="45" priority="71" operator="greaterThanOrEqual">
      <formula>Q105</formula>
    </cfRule>
  </conditionalFormatting>
  <conditionalFormatting sqref="AB105">
    <cfRule type="cellIs" dxfId="44" priority="66" operator="greaterThan">
      <formula>AA105</formula>
    </cfRule>
    <cfRule type="cellIs" dxfId="43" priority="67" operator="lessThanOrEqual">
      <formula>AA105</formula>
    </cfRule>
  </conditionalFormatting>
  <conditionalFormatting sqref="W113">
    <cfRule type="cellIs" dxfId="42" priority="64" operator="greaterThan">
      <formula>V113</formula>
    </cfRule>
    <cfRule type="cellIs" dxfId="41" priority="65" operator="lessThanOrEqual">
      <formula>V113</formula>
    </cfRule>
  </conditionalFormatting>
  <conditionalFormatting sqref="R121">
    <cfRule type="cellIs" dxfId="40" priority="74" operator="lessThan">
      <formula>Q121</formula>
    </cfRule>
    <cfRule type="cellIs" dxfId="39" priority="75" operator="greaterThanOrEqual">
      <formula>Q121</formula>
    </cfRule>
  </conditionalFormatting>
  <conditionalFormatting sqref="R113">
    <cfRule type="cellIs" dxfId="38" priority="72" operator="lessThan">
      <formula>Q113</formula>
    </cfRule>
    <cfRule type="cellIs" dxfId="37" priority="73" operator="greaterThanOrEqual">
      <formula>Q113</formula>
    </cfRule>
  </conditionalFormatting>
  <conditionalFormatting sqref="W105">
    <cfRule type="cellIs" dxfId="36" priority="68" operator="greaterThan">
      <formula>V105</formula>
    </cfRule>
    <cfRule type="cellIs" dxfId="35" priority="69" operator="lessThanOrEqual">
      <formula>V105</formula>
    </cfRule>
  </conditionalFormatting>
  <conditionalFormatting sqref="AB113">
    <cfRule type="cellIs" dxfId="34" priority="62" operator="greaterThan">
      <formula>AA113</formula>
    </cfRule>
    <cfRule type="cellIs" dxfId="33" priority="63" operator="lessThanOrEqual">
      <formula>AA113</formula>
    </cfRule>
  </conditionalFormatting>
  <conditionalFormatting sqref="W121">
    <cfRule type="cellIs" dxfId="32" priority="60" operator="greaterThan">
      <formula>V121</formula>
    </cfRule>
    <cfRule type="cellIs" dxfId="31" priority="61" operator="lessThanOrEqual">
      <formula>V121</formula>
    </cfRule>
  </conditionalFormatting>
  <conditionalFormatting sqref="AB121">
    <cfRule type="cellIs" dxfId="30" priority="58" operator="greaterThan">
      <formula>AA121</formula>
    </cfRule>
    <cfRule type="cellIs" dxfId="29" priority="59" operator="lessThanOrEqual">
      <formula>AA121</formula>
    </cfRule>
  </conditionalFormatting>
  <conditionalFormatting sqref="R97">
    <cfRule type="cellIs" dxfId="28" priority="54" operator="lessThan">
      <formula>Q97</formula>
    </cfRule>
    <cfRule type="cellIs" dxfId="27" priority="55" operator="greaterThanOrEqual">
      <formula>Q97</formula>
    </cfRule>
  </conditionalFormatting>
  <conditionalFormatting sqref="AB97">
    <cfRule type="cellIs" dxfId="26" priority="50" operator="greaterThan">
      <formula>AA97</formula>
    </cfRule>
    <cfRule type="cellIs" dxfId="25" priority="51" operator="lessThanOrEqual">
      <formula>AA97</formula>
    </cfRule>
  </conditionalFormatting>
  <conditionalFormatting sqref="W97">
    <cfRule type="cellIs" dxfId="24" priority="52" operator="greaterThan">
      <formula>V97</formula>
    </cfRule>
    <cfRule type="cellIs" dxfId="23" priority="53" operator="lessThanOrEqual">
      <formula>V97</formula>
    </cfRule>
  </conditionalFormatting>
  <conditionalFormatting sqref="M158">
    <cfRule type="cellIs" dxfId="22" priority="46" operator="lessThan">
      <formula>L158</formula>
    </cfRule>
    <cfRule type="cellIs" dxfId="21" priority="47" operator="greaterThanOrEqual">
      <formula>L158</formula>
    </cfRule>
  </conditionalFormatting>
  <conditionalFormatting sqref="R149">
    <cfRule type="cellIs" dxfId="20" priority="44" operator="greaterThan">
      <formula>Q149</formula>
    </cfRule>
    <cfRule type="cellIs" dxfId="19" priority="45" operator="lessThanOrEqual">
      <formula>Q149</formula>
    </cfRule>
  </conditionalFormatting>
  <conditionalFormatting sqref="M43">
    <cfRule type="cellIs" dxfId="18" priority="40" operator="greaterThan">
      <formula>L43</formula>
    </cfRule>
    <cfRule type="cellIs" dxfId="17" priority="41" operator="lessThanOrEqual">
      <formula>L43</formula>
    </cfRule>
  </conditionalFormatting>
  <conditionalFormatting sqref="R70">
    <cfRule type="cellIs" dxfId="16" priority="38" operator="lessThan">
      <formula>Q70</formula>
    </cfRule>
    <cfRule type="cellIs" dxfId="15" priority="39" operator="greaterThanOrEqual">
      <formula>Q70</formula>
    </cfRule>
  </conditionalFormatting>
  <conditionalFormatting sqref="R61">
    <cfRule type="cellIs" dxfId="14" priority="30" operator="lessThan">
      <formula>Q61</formula>
    </cfRule>
    <cfRule type="cellIs" dxfId="13" priority="31" operator="greaterThanOrEqual">
      <formula>Q61</formula>
    </cfRule>
  </conditionalFormatting>
  <conditionalFormatting sqref="R79">
    <cfRule type="cellIs" dxfId="12" priority="20" operator="lessThan">
      <formula>Q79</formula>
    </cfRule>
    <cfRule type="cellIs" dxfId="11" priority="21" operator="greaterThanOrEqual">
      <formula>Q79</formula>
    </cfRule>
  </conditionalFormatting>
  <conditionalFormatting sqref="M130">
    <cfRule type="cellIs" dxfId="10" priority="11" operator="greaterThan">
      <formula>L130</formula>
    </cfRule>
    <cfRule type="cellIs" dxfId="9" priority="12" operator="lessThanOrEqual">
      <formula>L130</formula>
    </cfRule>
  </conditionalFormatting>
  <conditionalFormatting sqref="H130">
    <cfRule type="cellIs" dxfId="8" priority="9" operator="greaterThan">
      <formula>G130</formula>
    </cfRule>
    <cfRule type="cellIs" dxfId="7" priority="10" operator="lessThanOrEqual">
      <formula>G130</formula>
    </cfRule>
  </conditionalFormatting>
  <conditionalFormatting sqref="M113">
    <cfRule type="cellIs" dxfId="6" priority="7" operator="greaterThan">
      <formula>L113</formula>
    </cfRule>
    <cfRule type="cellIs" dxfId="5" priority="8" operator="lessThanOrEqual">
      <formula>L113</formula>
    </cfRule>
  </conditionalFormatting>
  <conditionalFormatting sqref="M89">
    <cfRule type="cellIs" dxfId="4" priority="5" operator="greaterThan">
      <formula>L89</formula>
    </cfRule>
    <cfRule type="cellIs" dxfId="3" priority="6" operator="lessThanOrEqual">
      <formula>L89</formula>
    </cfRule>
  </conditionalFormatting>
  <conditionalFormatting sqref="R140">
    <cfRule type="cellIs" dxfId="2" priority="1" operator="lessThan">
      <formula>Q140</formula>
    </cfRule>
    <cfRule type="cellIs" dxfId="1" priority="2" operator="greaterThanOrEqual">
      <formula>Q140</formula>
    </cfRule>
  </conditionalFormatting>
  <pageMargins left="0.7" right="0.7" top="0.75" bottom="0.75" header="0.3" footer="0.3"/>
  <pageSetup paperSize="9" scale="16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5" id="{FD51B311-555A-45D6-9F2A-FD3FEA0D4D41}">
            <xm:f>OR('Чек-лист'!$G$17="нет",'Чек-лист'!$G$67="нет",'Чек-лист'!$G$71="нет")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AA20:AM81 O2:Z81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C8AE1-FF27-46AE-99D8-CE72DF8D06C8}">
  <sheetPr codeName="Лист2">
    <tabColor theme="5" tint="-0.499984740745262"/>
  </sheetPr>
  <dimension ref="A1:M18"/>
  <sheetViews>
    <sheetView showGridLines="0" workbookViewId="0">
      <selection activeCell="E1" sqref="E1"/>
    </sheetView>
  </sheetViews>
  <sheetFormatPr baseColWidth="10" defaultColWidth="8.83203125" defaultRowHeight="14" x14ac:dyDescent="0.15"/>
  <cols>
    <col min="1" max="1" width="8.6640625" style="236" customWidth="1"/>
    <col min="2" max="2" width="71" style="236" customWidth="1"/>
    <col min="3" max="3" width="16.5" style="236" customWidth="1"/>
    <col min="4" max="5" width="19.5" style="459" customWidth="1"/>
    <col min="6" max="6" width="8.83203125" style="236"/>
    <col min="7" max="7" width="35.5" style="236" customWidth="1"/>
    <col min="8" max="16384" width="8.83203125" style="236"/>
  </cols>
  <sheetData>
    <row r="1" spans="1:13" ht="16" x14ac:dyDescent="0.2">
      <c r="A1" s="463"/>
      <c r="B1" s="348" t="s">
        <v>536</v>
      </c>
      <c r="E1" s="471" t="str">
        <f>'Чек-лист'!K1</f>
        <v>Версия 5.2</v>
      </c>
    </row>
    <row r="2" spans="1:13" ht="16" x14ac:dyDescent="0.15">
      <c r="A2" s="460"/>
      <c r="B2" s="348" t="s">
        <v>537</v>
      </c>
    </row>
    <row r="3" spans="1:13" ht="16" x14ac:dyDescent="0.2">
      <c r="A3" s="349"/>
      <c r="B3" s="348" t="s">
        <v>17</v>
      </c>
    </row>
    <row r="4" spans="1:13" ht="45" x14ac:dyDescent="0.15">
      <c r="B4" s="241" t="s">
        <v>22</v>
      </c>
      <c r="C4" s="242" t="s">
        <v>24</v>
      </c>
      <c r="D4" s="242" t="s">
        <v>26</v>
      </c>
      <c r="E4" s="242" t="s">
        <v>27</v>
      </c>
      <c r="G4" s="470" t="s">
        <v>538</v>
      </c>
    </row>
    <row r="5" spans="1:13" ht="15" x14ac:dyDescent="0.15">
      <c r="B5" s="250" t="s">
        <v>539</v>
      </c>
      <c r="C5" s="244" t="s">
        <v>540</v>
      </c>
      <c r="D5" s="463"/>
      <c r="E5" s="463"/>
      <c r="G5" s="642" t="s">
        <v>541</v>
      </c>
    </row>
    <row r="6" spans="1:13" ht="15" x14ac:dyDescent="0.15">
      <c r="B6" s="250" t="s">
        <v>542</v>
      </c>
      <c r="C6" s="244" t="s">
        <v>543</v>
      </c>
      <c r="D6" s="463"/>
      <c r="E6" s="463"/>
      <c r="G6" s="642"/>
    </row>
    <row r="7" spans="1:13" ht="15" x14ac:dyDescent="0.15">
      <c r="B7" s="250" t="s">
        <v>544</v>
      </c>
      <c r="C7" s="244" t="s">
        <v>545</v>
      </c>
      <c r="D7" s="463"/>
      <c r="E7" s="463"/>
      <c r="G7" s="642"/>
    </row>
    <row r="8" spans="1:13" s="240" customFormat="1" x14ac:dyDescent="0.15">
      <c r="B8" s="250"/>
      <c r="C8" s="244"/>
      <c r="D8" s="461"/>
      <c r="E8" s="461"/>
      <c r="G8" s="642"/>
      <c r="H8" s="236"/>
      <c r="I8" s="236"/>
      <c r="J8" s="236"/>
      <c r="K8" s="236"/>
      <c r="L8" s="236"/>
      <c r="M8" s="236"/>
    </row>
    <row r="9" spans="1:13" s="240" customFormat="1" ht="15" x14ac:dyDescent="0.15">
      <c r="B9" s="250" t="s">
        <v>546</v>
      </c>
      <c r="C9" s="244" t="s">
        <v>543</v>
      </c>
      <c r="D9" s="460">
        <f>+D6*D7</f>
        <v>0</v>
      </c>
      <c r="E9" s="460">
        <f>+E6*E7</f>
        <v>0</v>
      </c>
      <c r="G9" s="642"/>
      <c r="H9" s="236"/>
      <c r="I9" s="236"/>
      <c r="J9" s="236"/>
      <c r="K9" s="236"/>
      <c r="L9" s="236"/>
      <c r="M9" s="236"/>
    </row>
    <row r="10" spans="1:13" x14ac:dyDescent="0.15">
      <c r="B10" s="250"/>
      <c r="C10" s="244"/>
      <c r="D10" s="462"/>
      <c r="E10" s="462"/>
      <c r="G10" s="642"/>
    </row>
    <row r="11" spans="1:13" ht="15" x14ac:dyDescent="0.15">
      <c r="B11" s="250" t="s">
        <v>547</v>
      </c>
      <c r="C11" s="244" t="s">
        <v>543</v>
      </c>
      <c r="D11" s="463"/>
      <c r="E11" s="463"/>
      <c r="G11" s="642"/>
    </row>
    <row r="12" spans="1:13" ht="15" x14ac:dyDescent="0.15">
      <c r="B12" s="250" t="s">
        <v>548</v>
      </c>
      <c r="C12" s="244" t="s">
        <v>540</v>
      </c>
      <c r="D12" s="460">
        <f>IFERROR(D11/D9*1.5*D5,0)</f>
        <v>0</v>
      </c>
      <c r="E12" s="460">
        <f>IFERROR(E11/E9*1.5*E5,0)</f>
        <v>0</v>
      </c>
      <c r="G12" s="642"/>
    </row>
    <row r="13" spans="1:13" x14ac:dyDescent="0.15">
      <c r="B13" s="250"/>
      <c r="C13" s="244"/>
      <c r="D13" s="462"/>
      <c r="E13" s="462"/>
      <c r="G13" s="642"/>
    </row>
    <row r="14" spans="1:13" ht="15" x14ac:dyDescent="0.15">
      <c r="B14" s="250" t="s">
        <v>549</v>
      </c>
      <c r="C14" s="244" t="s">
        <v>543</v>
      </c>
      <c r="D14" s="463"/>
      <c r="E14" s="463"/>
      <c r="G14" s="642"/>
    </row>
    <row r="15" spans="1:13" ht="15" x14ac:dyDescent="0.15">
      <c r="B15" s="250" t="s">
        <v>550</v>
      </c>
      <c r="C15" s="244" t="s">
        <v>540</v>
      </c>
      <c r="D15" s="460">
        <f>IFERROR(D14/D9*2*D5,0)</f>
        <v>0</v>
      </c>
      <c r="E15" s="460">
        <f>IFERROR(E14/E9*2*E5,0)</f>
        <v>0</v>
      </c>
      <c r="G15" s="642"/>
    </row>
    <row r="16" spans="1:13" s="464" customFormat="1" x14ac:dyDescent="0.15">
      <c r="A16" s="464" t="s">
        <v>666</v>
      </c>
      <c r="D16" s="466"/>
      <c r="E16" s="466"/>
      <c r="G16" s="642"/>
      <c r="H16" s="236"/>
      <c r="I16" s="236"/>
      <c r="J16" s="236"/>
      <c r="K16" s="236"/>
      <c r="L16" s="236"/>
      <c r="M16" s="236"/>
    </row>
    <row r="17" spans="1:13" s="464" customFormat="1" x14ac:dyDescent="0.15">
      <c r="B17" s="465" t="s">
        <v>551</v>
      </c>
      <c r="C17" s="469" t="s">
        <v>540</v>
      </c>
      <c r="D17" s="474">
        <f>D5+D12+D15</f>
        <v>0</v>
      </c>
      <c r="E17" s="474">
        <f>E5+E12+E15</f>
        <v>0</v>
      </c>
      <c r="G17" s="642"/>
      <c r="H17" s="236"/>
      <c r="I17" s="236"/>
      <c r="J17" s="236"/>
      <c r="K17" s="236"/>
      <c r="L17" s="236"/>
      <c r="M17" s="236"/>
    </row>
    <row r="18" spans="1:13" x14ac:dyDescent="0.15">
      <c r="A18" s="464"/>
      <c r="B18" s="465" t="s">
        <v>173</v>
      </c>
      <c r="C18" s="469" t="s">
        <v>42</v>
      </c>
      <c r="D18" s="467"/>
      <c r="E18" s="468"/>
      <c r="G18" s="642"/>
    </row>
  </sheetData>
  <sheetProtection algorithmName="SHA-512" hashValue="Qoe63c2frRCwRbmV6nyspo2goxZ5bgvdE6WgUY44DbK1QTmCLXnsrCr00szrsaJNtEt1+AWlSfZAMmaQ8wEFWQ==" saltValue="akNN/Eccdxa71Ramhv1okw==" spinCount="100000" sheet="1" objects="1" scenarios="1"/>
  <mergeCells count="1">
    <mergeCell ref="G5:G18"/>
  </mergeCells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4A2F8-A87B-4A80-84F6-45EDD551C9F7}">
  <sheetPr codeName="Лист10"/>
  <dimension ref="A1:G9"/>
  <sheetViews>
    <sheetView showGridLines="0" workbookViewId="0">
      <selection activeCell="E18" sqref="E18"/>
    </sheetView>
  </sheetViews>
  <sheetFormatPr baseColWidth="10" defaultColWidth="8.83203125" defaultRowHeight="15" x14ac:dyDescent="0.2"/>
  <cols>
    <col min="1" max="1" width="8.83203125" style="491"/>
    <col min="2" max="2" width="39.33203125" style="491" customWidth="1"/>
    <col min="3" max="3" width="39.33203125" style="491" bestFit="1" customWidth="1"/>
    <col min="4" max="4" width="47.1640625" style="491" customWidth="1"/>
    <col min="5" max="16384" width="8.83203125" style="491"/>
  </cols>
  <sheetData>
    <row r="1" spans="1:7" ht="19" x14ac:dyDescent="0.2">
      <c r="A1"/>
      <c r="B1" s="643" t="s">
        <v>651</v>
      </c>
      <c r="C1" s="643"/>
      <c r="D1" s="643"/>
      <c r="E1" s="490"/>
      <c r="F1" s="490"/>
      <c r="G1" s="490"/>
    </row>
    <row r="2" spans="1:7" x14ac:dyDescent="0.2">
      <c r="A2"/>
      <c r="B2"/>
      <c r="C2"/>
      <c r="D2"/>
    </row>
    <row r="3" spans="1:7" ht="34" x14ac:dyDescent="0.2">
      <c r="A3" s="492" t="s">
        <v>664</v>
      </c>
      <c r="B3" s="492" t="s">
        <v>652</v>
      </c>
      <c r="C3" s="492" t="s">
        <v>653</v>
      </c>
      <c r="D3" s="492" t="s">
        <v>654</v>
      </c>
    </row>
    <row r="4" spans="1:7" ht="16" x14ac:dyDescent="0.2">
      <c r="A4" s="495">
        <v>1</v>
      </c>
      <c r="B4" s="493" t="s">
        <v>655</v>
      </c>
      <c r="C4" s="493" t="s">
        <v>656</v>
      </c>
      <c r="D4" s="493" t="s">
        <v>657</v>
      </c>
    </row>
    <row r="5" spans="1:7" ht="16" x14ac:dyDescent="0.2">
      <c r="A5" s="495">
        <v>2</v>
      </c>
      <c r="B5" s="493" t="s">
        <v>658</v>
      </c>
      <c r="C5" s="493" t="s">
        <v>657</v>
      </c>
      <c r="D5" s="493" t="s">
        <v>656</v>
      </c>
    </row>
    <row r="6" spans="1:7" ht="17" x14ac:dyDescent="0.2">
      <c r="A6" s="496">
        <v>3</v>
      </c>
      <c r="B6" s="494" t="s">
        <v>659</v>
      </c>
      <c r="C6" s="493" t="s">
        <v>657</v>
      </c>
      <c r="D6" s="493" t="s">
        <v>656</v>
      </c>
    </row>
    <row r="7" spans="1:7" ht="16" x14ac:dyDescent="0.2">
      <c r="A7" s="495">
        <v>4</v>
      </c>
      <c r="B7" s="493" t="s">
        <v>660</v>
      </c>
      <c r="C7" s="493" t="s">
        <v>657</v>
      </c>
      <c r="D7" s="493" t="s">
        <v>495</v>
      </c>
    </row>
    <row r="8" spans="1:7" ht="16" x14ac:dyDescent="0.2">
      <c r="A8" s="495">
        <v>5</v>
      </c>
      <c r="B8" s="493" t="s">
        <v>661</v>
      </c>
      <c r="C8" s="493" t="s">
        <v>656</v>
      </c>
      <c r="D8" s="493" t="s">
        <v>657</v>
      </c>
    </row>
    <row r="9" spans="1:7" ht="34" x14ac:dyDescent="0.2">
      <c r="A9" s="496">
        <v>6</v>
      </c>
      <c r="B9" s="494" t="s">
        <v>663</v>
      </c>
      <c r="C9" s="493" t="s">
        <v>662</v>
      </c>
      <c r="D9" s="493" t="s">
        <v>495</v>
      </c>
    </row>
  </sheetData>
  <sheetProtection algorithmName="SHA-512" hashValue="oll8OlDPcOl6fk71O7yf0l/mv2iYzV3ETf2a0Q8LyGXPu4IzQSoZogMnjKFQGq//W8Q1b0pq/hFi+nyiD4cofQ==" saltValue="yyth/tWw6c/Dz1CghPy4CQ==" spinCount="100000" sheet="1" objects="1" scenarios="1"/>
  <mergeCells count="1">
    <mergeCell ref="B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BEA01-7EF7-4CCB-8627-B25B5A7A7198}">
  <sheetPr codeName="Лист6">
    <tabColor rgb="FF00B050"/>
  </sheetPr>
  <dimension ref="A1:B8"/>
  <sheetViews>
    <sheetView workbookViewId="0">
      <selection activeCell="F23" sqref="F23"/>
    </sheetView>
  </sheetViews>
  <sheetFormatPr baseColWidth="10" defaultColWidth="8.83203125" defaultRowHeight="15" x14ac:dyDescent="0.2"/>
  <cols>
    <col min="1" max="1" width="10.1640625" style="100" bestFit="1" customWidth="1"/>
  </cols>
  <sheetData>
    <row r="1" spans="1:2" x14ac:dyDescent="0.2">
      <c r="A1" s="392">
        <v>44413</v>
      </c>
      <c r="B1" t="s">
        <v>552</v>
      </c>
    </row>
    <row r="2" spans="1:2" x14ac:dyDescent="0.2">
      <c r="A2" s="392">
        <v>44469</v>
      </c>
      <c r="B2" t="s">
        <v>553</v>
      </c>
    </row>
    <row r="3" spans="1:2" x14ac:dyDescent="0.2">
      <c r="A3" s="392">
        <v>44474</v>
      </c>
      <c r="B3" t="s">
        <v>554</v>
      </c>
    </row>
    <row r="4" spans="1:2" x14ac:dyDescent="0.2">
      <c r="A4" s="392">
        <v>44502</v>
      </c>
      <c r="B4" t="s">
        <v>555</v>
      </c>
    </row>
    <row r="5" spans="1:2" x14ac:dyDescent="0.2">
      <c r="B5" t="s">
        <v>556</v>
      </c>
    </row>
    <row r="6" spans="1:2" x14ac:dyDescent="0.2">
      <c r="B6" t="s">
        <v>557</v>
      </c>
    </row>
    <row r="7" spans="1:2" x14ac:dyDescent="0.2">
      <c r="B7" t="s">
        <v>558</v>
      </c>
    </row>
    <row r="8" spans="1:2" x14ac:dyDescent="0.2">
      <c r="B8" t="s">
        <v>559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83112-DE01-4651-8B89-D64AFA8C4FF3}">
  <sheetPr codeName="Лист7"/>
  <dimension ref="B1:F21"/>
  <sheetViews>
    <sheetView workbookViewId="0">
      <selection activeCell="J22" sqref="J22"/>
    </sheetView>
  </sheetViews>
  <sheetFormatPr baseColWidth="10" defaultColWidth="8.83203125" defaultRowHeight="15" x14ac:dyDescent="0.2"/>
  <cols>
    <col min="2" max="2" width="10.6640625" customWidth="1"/>
    <col min="3" max="3" width="18.1640625" customWidth="1"/>
    <col min="4" max="4" width="11.5" customWidth="1"/>
  </cols>
  <sheetData>
    <row r="1" spans="2:6" x14ac:dyDescent="0.2">
      <c r="C1" t="s">
        <v>491</v>
      </c>
      <c r="D1" t="s">
        <v>560</v>
      </c>
    </row>
    <row r="2" spans="2:6" x14ac:dyDescent="0.2">
      <c r="B2" t="s">
        <v>561</v>
      </c>
      <c r="C2">
        <v>120</v>
      </c>
      <c r="D2" s="177">
        <f>C2/$C$7</f>
        <v>0.44444444444444442</v>
      </c>
    </row>
    <row r="3" spans="2:6" x14ac:dyDescent="0.2">
      <c r="B3" t="s">
        <v>562</v>
      </c>
      <c r="C3">
        <v>20</v>
      </c>
      <c r="D3" s="177">
        <f t="shared" ref="D3:D6" si="0">C3/$C$7</f>
        <v>7.407407407407407E-2</v>
      </c>
    </row>
    <row r="4" spans="2:6" x14ac:dyDescent="0.2">
      <c r="B4" t="s">
        <v>563</v>
      </c>
      <c r="C4">
        <v>90</v>
      </c>
      <c r="D4" s="177">
        <f t="shared" si="0"/>
        <v>0.33333333333333331</v>
      </c>
    </row>
    <row r="5" spans="2:6" x14ac:dyDescent="0.2">
      <c r="B5" t="s">
        <v>564</v>
      </c>
      <c r="C5">
        <v>0</v>
      </c>
      <c r="D5" s="177">
        <f t="shared" si="0"/>
        <v>0</v>
      </c>
    </row>
    <row r="6" spans="2:6" x14ac:dyDescent="0.2">
      <c r="B6" t="s">
        <v>565</v>
      </c>
      <c r="C6">
        <v>40</v>
      </c>
      <c r="D6" s="177">
        <f t="shared" si="0"/>
        <v>0.14814814814814814</v>
      </c>
    </row>
    <row r="7" spans="2:6" x14ac:dyDescent="0.2">
      <c r="B7" t="s">
        <v>467</v>
      </c>
      <c r="C7">
        <f>SUM(C2:C6)</f>
        <v>270</v>
      </c>
      <c r="D7" s="177">
        <f>SUM(D2:D6)</f>
        <v>1</v>
      </c>
    </row>
    <row r="10" spans="2:6" x14ac:dyDescent="0.2">
      <c r="C10" t="s">
        <v>491</v>
      </c>
      <c r="D10" t="s">
        <v>566</v>
      </c>
      <c r="E10" t="s">
        <v>49</v>
      </c>
      <c r="F10" t="s">
        <v>120</v>
      </c>
    </row>
    <row r="11" spans="2:6" x14ac:dyDescent="0.2">
      <c r="B11" t="s">
        <v>561</v>
      </c>
      <c r="C11">
        <v>120</v>
      </c>
      <c r="D11">
        <v>130</v>
      </c>
      <c r="E11">
        <v>2</v>
      </c>
      <c r="F11">
        <f>D11/C11*E11</f>
        <v>2.1666666666666665</v>
      </c>
    </row>
    <row r="12" spans="2:6" x14ac:dyDescent="0.2">
      <c r="B12" t="s">
        <v>562</v>
      </c>
      <c r="C12">
        <v>20</v>
      </c>
      <c r="D12">
        <v>20</v>
      </c>
      <c r="E12">
        <v>3</v>
      </c>
      <c r="F12">
        <f t="shared" ref="F12:F15" si="1">D12/C12*E12</f>
        <v>3</v>
      </c>
    </row>
    <row r="13" spans="2:6" x14ac:dyDescent="0.2">
      <c r="B13" t="s">
        <v>563</v>
      </c>
      <c r="C13">
        <v>90</v>
      </c>
      <c r="D13">
        <v>98</v>
      </c>
      <c r="E13">
        <v>2</v>
      </c>
      <c r="F13">
        <f t="shared" si="1"/>
        <v>2.1777777777777776</v>
      </c>
    </row>
    <row r="14" spans="2:6" x14ac:dyDescent="0.2">
      <c r="B14" t="s">
        <v>564</v>
      </c>
      <c r="C14">
        <v>0</v>
      </c>
      <c r="D14">
        <v>0</v>
      </c>
    </row>
    <row r="15" spans="2:6" x14ac:dyDescent="0.2">
      <c r="B15" t="s">
        <v>565</v>
      </c>
      <c r="C15">
        <v>40</v>
      </c>
      <c r="D15">
        <v>50</v>
      </c>
      <c r="E15">
        <v>2.5</v>
      </c>
      <c r="F15">
        <f t="shared" si="1"/>
        <v>3.125</v>
      </c>
    </row>
    <row r="16" spans="2:6" x14ac:dyDescent="0.2">
      <c r="B16" t="s">
        <v>467</v>
      </c>
      <c r="C16">
        <f>SUM(C11:C15)</f>
        <v>270</v>
      </c>
    </row>
    <row r="19" spans="2:4" x14ac:dyDescent="0.2">
      <c r="B19" s="100" t="s">
        <v>567</v>
      </c>
    </row>
    <row r="20" spans="2:4" x14ac:dyDescent="0.2">
      <c r="B20" t="s">
        <v>568</v>
      </c>
      <c r="C20" t="s">
        <v>569</v>
      </c>
      <c r="D20" t="s">
        <v>570</v>
      </c>
    </row>
    <row r="21" spans="2:4" x14ac:dyDescent="0.2">
      <c r="B21" t="s">
        <v>571</v>
      </c>
      <c r="C21" t="s">
        <v>572</v>
      </c>
      <c r="D21" t="s">
        <v>573</v>
      </c>
    </row>
  </sheetData>
  <phoneticPr fontId="2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8">
    <pageSetUpPr fitToPage="1"/>
  </sheetPr>
  <dimension ref="A1:P54"/>
  <sheetViews>
    <sheetView view="pageBreakPreview" topLeftCell="A23" zoomScaleNormal="85" zoomScaleSheetLayoutView="100" workbookViewId="0">
      <selection activeCell="A29" sqref="A29:P29"/>
    </sheetView>
  </sheetViews>
  <sheetFormatPr baseColWidth="10" defaultColWidth="8.6640625" defaultRowHeight="14" x14ac:dyDescent="0.15"/>
  <cols>
    <col min="1" max="7" width="8.6640625" style="166"/>
    <col min="8" max="8" width="11.33203125" style="166" customWidth="1"/>
    <col min="9" max="16384" width="8.6640625" style="166"/>
  </cols>
  <sheetData>
    <row r="1" spans="1:16" ht="25.25" customHeight="1" x14ac:dyDescent="0.15">
      <c r="A1" s="167"/>
      <c r="B1" s="657" t="s">
        <v>574</v>
      </c>
      <c r="C1" s="657"/>
      <c r="D1" s="657"/>
      <c r="E1" s="657"/>
      <c r="F1" s="657"/>
      <c r="G1" s="657"/>
      <c r="H1" s="657"/>
      <c r="I1" s="657"/>
      <c r="J1" s="657"/>
      <c r="K1" s="657"/>
      <c r="L1" s="657"/>
      <c r="M1" s="657"/>
      <c r="N1" s="657"/>
      <c r="O1" s="167"/>
      <c r="P1" s="167"/>
    </row>
    <row r="2" spans="1:16" ht="30" customHeight="1" x14ac:dyDescent="0.15">
      <c r="A2" s="658" t="s">
        <v>575</v>
      </c>
      <c r="B2" s="658"/>
      <c r="C2" s="658"/>
      <c r="D2" s="658"/>
      <c r="E2" s="658"/>
      <c r="F2" s="658"/>
      <c r="G2" s="658"/>
      <c r="H2" s="658"/>
      <c r="I2" s="658"/>
      <c r="J2" s="658"/>
      <c r="K2" s="658"/>
      <c r="L2" s="658"/>
      <c r="M2" s="658"/>
      <c r="N2" s="658"/>
      <c r="O2" s="167"/>
      <c r="P2" s="167"/>
    </row>
    <row r="3" spans="1:16" ht="16" x14ac:dyDescent="0.15">
      <c r="A3" s="167"/>
      <c r="B3" s="168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</row>
    <row r="4" spans="1:16" ht="60.5" customHeight="1" x14ac:dyDescent="0.15">
      <c r="A4" s="659" t="s">
        <v>576</v>
      </c>
      <c r="B4" s="659"/>
      <c r="C4" s="659"/>
      <c r="D4" s="659"/>
      <c r="E4" s="659"/>
      <c r="F4" s="659"/>
      <c r="G4" s="659"/>
      <c r="H4" s="659"/>
      <c r="I4" s="659"/>
      <c r="J4" s="659"/>
      <c r="K4" s="659"/>
      <c r="L4" s="659"/>
      <c r="M4" s="659"/>
      <c r="N4" s="659"/>
      <c r="O4" s="659"/>
      <c r="P4" s="659"/>
    </row>
    <row r="5" spans="1:16" ht="37.5" customHeight="1" x14ac:dyDescent="0.15">
      <c r="A5" s="648" t="s">
        <v>242</v>
      </c>
      <c r="B5" s="648"/>
      <c r="C5" s="648"/>
      <c r="D5" s="648"/>
      <c r="E5" s="648"/>
      <c r="F5" s="648"/>
      <c r="G5" s="648"/>
      <c r="H5" s="648"/>
      <c r="I5" s="648" t="s">
        <v>577</v>
      </c>
      <c r="J5" s="648"/>
      <c r="K5" s="648"/>
      <c r="L5" s="648"/>
      <c r="M5" s="648"/>
      <c r="N5" s="648"/>
      <c r="O5" s="648"/>
      <c r="P5" s="648"/>
    </row>
    <row r="6" spans="1:16" ht="68.75" customHeight="1" x14ac:dyDescent="0.15">
      <c r="A6" s="649" t="s">
        <v>578</v>
      </c>
      <c r="B6" s="649"/>
      <c r="C6" s="649"/>
      <c r="D6" s="649"/>
      <c r="E6" s="649"/>
      <c r="F6" s="649"/>
      <c r="G6" s="649"/>
      <c r="H6" s="649"/>
      <c r="I6" s="655" t="s">
        <v>579</v>
      </c>
      <c r="J6" s="655"/>
      <c r="K6" s="655"/>
      <c r="L6" s="655"/>
      <c r="M6" s="655"/>
      <c r="N6" s="655"/>
      <c r="O6" s="655"/>
      <c r="P6" s="655"/>
    </row>
    <row r="7" spans="1:16" ht="52.5" customHeight="1" x14ac:dyDescent="0.15">
      <c r="A7" s="646" t="s">
        <v>580</v>
      </c>
      <c r="B7" s="646"/>
      <c r="C7" s="646"/>
      <c r="D7" s="646"/>
      <c r="E7" s="646"/>
      <c r="F7" s="646"/>
      <c r="G7" s="646"/>
      <c r="H7" s="646"/>
      <c r="I7" s="646" t="s">
        <v>581</v>
      </c>
      <c r="J7" s="646"/>
      <c r="K7" s="646"/>
      <c r="L7" s="646"/>
      <c r="M7" s="646"/>
      <c r="N7" s="646"/>
      <c r="O7" s="646"/>
      <c r="P7" s="646"/>
    </row>
    <row r="8" spans="1:16" ht="94.25" customHeight="1" x14ac:dyDescent="0.15">
      <c r="A8" s="649" t="s">
        <v>582</v>
      </c>
      <c r="B8" s="649"/>
      <c r="C8" s="649"/>
      <c r="D8" s="649"/>
      <c r="E8" s="649"/>
      <c r="F8" s="649"/>
      <c r="G8" s="649"/>
      <c r="H8" s="649"/>
      <c r="I8" s="656" t="s">
        <v>583</v>
      </c>
      <c r="J8" s="656"/>
      <c r="K8" s="656"/>
      <c r="L8" s="656"/>
      <c r="M8" s="656"/>
      <c r="N8" s="656"/>
      <c r="O8" s="656"/>
      <c r="P8" s="656"/>
    </row>
    <row r="9" spans="1:16" ht="20" customHeight="1" x14ac:dyDescent="0.15">
      <c r="A9" s="654" t="s">
        <v>584</v>
      </c>
      <c r="B9" s="654"/>
      <c r="C9" s="654"/>
      <c r="D9" s="654"/>
      <c r="E9" s="654"/>
      <c r="F9" s="654"/>
      <c r="G9" s="654"/>
      <c r="H9" s="654"/>
      <c r="I9" s="646" t="s">
        <v>585</v>
      </c>
      <c r="J9" s="646"/>
      <c r="K9" s="646"/>
      <c r="L9" s="646"/>
      <c r="M9" s="646"/>
      <c r="N9" s="646"/>
      <c r="O9" s="646"/>
      <c r="P9" s="646"/>
    </row>
    <row r="10" spans="1:16" ht="17" customHeight="1" x14ac:dyDescent="0.15">
      <c r="A10" s="654" t="s">
        <v>586</v>
      </c>
      <c r="B10" s="654"/>
      <c r="C10" s="654"/>
      <c r="D10" s="654"/>
      <c r="E10" s="654"/>
      <c r="F10" s="654"/>
      <c r="G10" s="654"/>
      <c r="H10" s="654"/>
      <c r="I10" s="646"/>
      <c r="J10" s="646"/>
      <c r="K10" s="646"/>
      <c r="L10" s="646"/>
      <c r="M10" s="646"/>
      <c r="N10" s="646"/>
      <c r="O10" s="646"/>
      <c r="P10" s="646"/>
    </row>
    <row r="11" spans="1:16" ht="111" customHeight="1" x14ac:dyDescent="0.15">
      <c r="A11" s="647" t="s">
        <v>587</v>
      </c>
      <c r="B11" s="647"/>
      <c r="C11" s="647"/>
      <c r="D11" s="647"/>
      <c r="E11" s="647"/>
      <c r="F11" s="647"/>
      <c r="G11" s="647"/>
      <c r="H11" s="647"/>
      <c r="I11" s="167"/>
      <c r="J11" s="167"/>
      <c r="K11" s="167"/>
      <c r="L11" s="167"/>
      <c r="M11" s="167"/>
      <c r="N11" s="167"/>
      <c r="O11" s="167"/>
      <c r="P11" s="167"/>
    </row>
    <row r="12" spans="1:16" ht="24.5" customHeight="1" x14ac:dyDescent="0.15">
      <c r="A12" s="646" t="s">
        <v>588</v>
      </c>
      <c r="B12" s="646"/>
      <c r="C12" s="646"/>
      <c r="D12" s="646"/>
      <c r="E12" s="646"/>
      <c r="F12" s="646"/>
      <c r="G12" s="646"/>
      <c r="H12" s="646"/>
      <c r="I12" s="167"/>
      <c r="J12" s="167"/>
      <c r="K12" s="167"/>
      <c r="L12" s="167"/>
      <c r="M12" s="167"/>
      <c r="N12" s="167"/>
      <c r="O12" s="167"/>
      <c r="P12" s="167"/>
    </row>
    <row r="13" spans="1:16" ht="81" customHeight="1" x14ac:dyDescent="0.15">
      <c r="A13" s="645" t="s">
        <v>589</v>
      </c>
      <c r="B13" s="645"/>
      <c r="C13" s="645"/>
      <c r="D13" s="645"/>
      <c r="E13" s="645"/>
      <c r="F13" s="645"/>
      <c r="G13" s="645"/>
      <c r="H13" s="645"/>
      <c r="I13" s="167"/>
      <c r="J13" s="167"/>
      <c r="K13" s="167"/>
      <c r="L13" s="167"/>
      <c r="M13" s="167"/>
      <c r="N13" s="167"/>
      <c r="O13" s="167"/>
      <c r="P13" s="167"/>
    </row>
    <row r="14" spans="1:16" ht="39.5" customHeight="1" x14ac:dyDescent="0.15">
      <c r="A14" s="652" t="s">
        <v>590</v>
      </c>
      <c r="B14" s="652"/>
      <c r="C14" s="652"/>
      <c r="D14" s="652"/>
      <c r="E14" s="652"/>
      <c r="F14" s="652"/>
      <c r="G14" s="652"/>
      <c r="H14" s="652"/>
      <c r="I14" s="167"/>
      <c r="J14" s="167"/>
      <c r="K14" s="167"/>
      <c r="L14" s="167"/>
      <c r="M14" s="167"/>
      <c r="N14" s="167"/>
      <c r="O14" s="167"/>
      <c r="P14" s="167"/>
    </row>
    <row r="15" spans="1:16" ht="106.25" customHeight="1" x14ac:dyDescent="0.15">
      <c r="A15" s="653" t="s">
        <v>591</v>
      </c>
      <c r="B15" s="653"/>
      <c r="C15" s="653"/>
      <c r="D15" s="653"/>
      <c r="E15" s="653"/>
      <c r="F15" s="653"/>
      <c r="G15" s="653"/>
      <c r="H15" s="653"/>
      <c r="I15" s="653"/>
      <c r="J15" s="653"/>
      <c r="K15" s="653"/>
      <c r="L15" s="653"/>
      <c r="M15" s="653"/>
      <c r="N15" s="653"/>
      <c r="O15" s="653"/>
      <c r="P15" s="653"/>
    </row>
    <row r="16" spans="1:16" ht="35.75" customHeight="1" x14ac:dyDescent="0.15">
      <c r="A16" s="648" t="s">
        <v>242</v>
      </c>
      <c r="B16" s="648"/>
      <c r="C16" s="648"/>
      <c r="D16" s="648"/>
      <c r="E16" s="648"/>
      <c r="F16" s="648"/>
      <c r="G16" s="648"/>
      <c r="H16" s="648"/>
      <c r="I16" s="648" t="s">
        <v>244</v>
      </c>
      <c r="J16" s="648"/>
      <c r="K16" s="648"/>
      <c r="L16" s="648"/>
      <c r="M16" s="648"/>
      <c r="N16" s="648"/>
      <c r="O16" s="648"/>
      <c r="P16" s="648"/>
    </row>
    <row r="17" spans="1:16" ht="86" customHeight="1" x14ac:dyDescent="0.15">
      <c r="A17" s="647" t="s">
        <v>592</v>
      </c>
      <c r="B17" s="647"/>
      <c r="C17" s="647"/>
      <c r="D17" s="647"/>
      <c r="E17" s="647"/>
      <c r="F17" s="647"/>
      <c r="G17" s="647"/>
      <c r="H17" s="647"/>
      <c r="I17" s="649" t="s">
        <v>593</v>
      </c>
      <c r="J17" s="649"/>
      <c r="K17" s="649"/>
      <c r="L17" s="649"/>
      <c r="M17" s="649"/>
      <c r="N17" s="649"/>
      <c r="O17" s="649"/>
      <c r="P17" s="649"/>
    </row>
    <row r="18" spans="1:16" ht="38" customHeight="1" x14ac:dyDescent="0.15">
      <c r="A18" s="646" t="s">
        <v>594</v>
      </c>
      <c r="B18" s="646"/>
      <c r="C18" s="646"/>
      <c r="D18" s="646"/>
      <c r="E18" s="646"/>
      <c r="F18" s="646"/>
      <c r="G18" s="646"/>
      <c r="H18" s="646"/>
      <c r="I18" s="651" t="s">
        <v>595</v>
      </c>
      <c r="J18" s="651"/>
      <c r="K18" s="651"/>
      <c r="L18" s="651"/>
      <c r="M18" s="651"/>
      <c r="N18" s="651"/>
      <c r="O18" s="651"/>
      <c r="P18" s="651"/>
    </row>
    <row r="19" spans="1:16" ht="96" customHeight="1" x14ac:dyDescent="0.15">
      <c r="A19" s="647" t="s">
        <v>596</v>
      </c>
      <c r="B19" s="647"/>
      <c r="C19" s="647"/>
      <c r="D19" s="647"/>
      <c r="E19" s="647"/>
      <c r="F19" s="647"/>
      <c r="G19" s="647"/>
      <c r="H19" s="647"/>
      <c r="I19" s="649" t="s">
        <v>597</v>
      </c>
      <c r="J19" s="649"/>
      <c r="K19" s="649"/>
      <c r="L19" s="649"/>
      <c r="M19" s="649"/>
      <c r="N19" s="649"/>
      <c r="O19" s="649"/>
      <c r="P19" s="649"/>
    </row>
    <row r="20" spans="1:16" ht="37.25" customHeight="1" x14ac:dyDescent="0.15">
      <c r="A20" s="646" t="s">
        <v>598</v>
      </c>
      <c r="B20" s="646"/>
      <c r="C20" s="646"/>
      <c r="D20" s="646"/>
      <c r="E20" s="646"/>
      <c r="F20" s="646"/>
      <c r="G20" s="646"/>
      <c r="H20" s="646"/>
      <c r="I20" s="167"/>
      <c r="J20" s="167"/>
      <c r="K20" s="167"/>
      <c r="L20" s="167"/>
      <c r="M20" s="167"/>
      <c r="N20" s="167"/>
      <c r="O20" s="167"/>
      <c r="P20" s="167"/>
    </row>
    <row r="21" spans="1:16" ht="86" customHeight="1" x14ac:dyDescent="0.15">
      <c r="A21" s="647" t="s">
        <v>599</v>
      </c>
      <c r="B21" s="647"/>
      <c r="C21" s="647"/>
      <c r="D21" s="647"/>
      <c r="E21" s="647"/>
      <c r="F21" s="647"/>
      <c r="G21" s="647"/>
      <c r="H21" s="647"/>
      <c r="I21" s="167"/>
      <c r="J21" s="167"/>
      <c r="K21" s="167"/>
      <c r="L21" s="167"/>
      <c r="M21" s="167"/>
      <c r="N21" s="167"/>
      <c r="O21" s="167"/>
      <c r="P21" s="167"/>
    </row>
    <row r="22" spans="1:16" ht="40.25" customHeight="1" x14ac:dyDescent="0.15">
      <c r="A22" s="646" t="s">
        <v>600</v>
      </c>
      <c r="B22" s="646"/>
      <c r="C22" s="646"/>
      <c r="D22" s="646"/>
      <c r="E22" s="646"/>
      <c r="F22" s="646"/>
      <c r="G22" s="646"/>
      <c r="H22" s="646"/>
      <c r="I22" s="167"/>
      <c r="J22" s="167"/>
      <c r="K22" s="167"/>
      <c r="L22" s="167"/>
      <c r="M22" s="167"/>
      <c r="N22" s="167"/>
      <c r="O22" s="167"/>
      <c r="P22" s="167"/>
    </row>
    <row r="23" spans="1:16" ht="71" customHeight="1" x14ac:dyDescent="0.15">
      <c r="A23" s="647" t="s">
        <v>601</v>
      </c>
      <c r="B23" s="647"/>
      <c r="C23" s="647"/>
      <c r="D23" s="647"/>
      <c r="E23" s="647"/>
      <c r="F23" s="647"/>
      <c r="G23" s="647"/>
      <c r="H23" s="647"/>
      <c r="I23" s="167"/>
      <c r="J23" s="167"/>
      <c r="K23" s="167"/>
      <c r="L23" s="167"/>
      <c r="M23" s="167"/>
      <c r="N23" s="167"/>
      <c r="O23" s="167"/>
      <c r="P23" s="167"/>
    </row>
    <row r="24" spans="1:16" ht="34.25" customHeight="1" x14ac:dyDescent="0.15">
      <c r="A24" s="651" t="s">
        <v>602</v>
      </c>
      <c r="B24" s="651"/>
      <c r="C24" s="651"/>
      <c r="D24" s="651"/>
      <c r="E24" s="651"/>
      <c r="F24" s="651"/>
      <c r="G24" s="651"/>
      <c r="H24" s="651"/>
      <c r="I24" s="167"/>
      <c r="J24" s="167"/>
      <c r="K24" s="167"/>
      <c r="L24" s="167"/>
      <c r="M24" s="167"/>
      <c r="N24" s="167"/>
      <c r="O24" s="167"/>
      <c r="P24" s="167"/>
    </row>
    <row r="25" spans="1:16" ht="56.75" customHeight="1" x14ac:dyDescent="0.15">
      <c r="A25" s="647" t="s">
        <v>603</v>
      </c>
      <c r="B25" s="647"/>
      <c r="C25" s="647"/>
      <c r="D25" s="647"/>
      <c r="E25" s="647"/>
      <c r="F25" s="647"/>
      <c r="G25" s="647"/>
      <c r="H25" s="647"/>
      <c r="I25" s="650"/>
      <c r="J25" s="650"/>
      <c r="K25" s="650"/>
      <c r="L25" s="650"/>
      <c r="M25" s="650"/>
      <c r="N25" s="650"/>
      <c r="O25" s="650"/>
      <c r="P25" s="650"/>
    </row>
    <row r="26" spans="1:16" ht="68" customHeight="1" x14ac:dyDescent="0.15">
      <c r="A26" s="647" t="s">
        <v>604</v>
      </c>
      <c r="B26" s="647"/>
      <c r="C26" s="647"/>
      <c r="D26" s="647"/>
      <c r="E26" s="647"/>
      <c r="F26" s="647"/>
      <c r="G26" s="647"/>
      <c r="H26" s="647"/>
      <c r="I26" s="647"/>
      <c r="J26" s="647"/>
      <c r="K26" s="647"/>
      <c r="L26" s="647"/>
      <c r="M26" s="647"/>
      <c r="N26" s="647"/>
      <c r="O26" s="647"/>
      <c r="P26" s="647"/>
    </row>
    <row r="27" spans="1:16" ht="54" customHeight="1" x14ac:dyDescent="0.15">
      <c r="A27" s="647" t="s">
        <v>605</v>
      </c>
      <c r="B27" s="647"/>
      <c r="C27" s="647"/>
      <c r="D27" s="647"/>
      <c r="E27" s="647"/>
      <c r="F27" s="647"/>
      <c r="G27" s="647"/>
      <c r="H27" s="647"/>
      <c r="I27" s="647"/>
      <c r="J27" s="647"/>
      <c r="K27" s="647"/>
      <c r="L27" s="647"/>
      <c r="M27" s="647"/>
      <c r="N27" s="647"/>
      <c r="O27" s="647"/>
      <c r="P27" s="647"/>
    </row>
    <row r="28" spans="1:16" ht="33.5" customHeight="1" x14ac:dyDescent="0.15">
      <c r="A28" s="646" t="s">
        <v>606</v>
      </c>
      <c r="B28" s="646"/>
      <c r="C28" s="646"/>
      <c r="D28" s="646"/>
      <c r="E28" s="646"/>
      <c r="F28" s="646"/>
      <c r="G28" s="646"/>
      <c r="H28" s="646"/>
      <c r="I28" s="646"/>
      <c r="J28" s="646"/>
      <c r="K28" s="646"/>
      <c r="L28" s="646"/>
      <c r="M28" s="646"/>
      <c r="N28" s="646"/>
      <c r="O28" s="646"/>
      <c r="P28" s="646"/>
    </row>
    <row r="29" spans="1:16" ht="48.5" customHeight="1" x14ac:dyDescent="0.15">
      <c r="A29" s="647" t="s">
        <v>607</v>
      </c>
      <c r="B29" s="647"/>
      <c r="C29" s="647"/>
      <c r="D29" s="647"/>
      <c r="E29" s="647"/>
      <c r="F29" s="647"/>
      <c r="G29" s="647"/>
      <c r="H29" s="647"/>
      <c r="I29" s="647"/>
      <c r="J29" s="647"/>
      <c r="K29" s="647"/>
      <c r="L29" s="647"/>
      <c r="M29" s="647"/>
      <c r="N29" s="647"/>
      <c r="O29" s="647"/>
      <c r="P29" s="647"/>
    </row>
    <row r="30" spans="1:16" ht="32.5" customHeight="1" x14ac:dyDescent="0.15">
      <c r="A30" s="646" t="s">
        <v>608</v>
      </c>
      <c r="B30" s="646"/>
      <c r="C30" s="646"/>
      <c r="D30" s="646"/>
      <c r="E30" s="646"/>
      <c r="F30" s="646"/>
      <c r="G30" s="646"/>
      <c r="H30" s="646"/>
      <c r="I30" s="646"/>
      <c r="J30" s="646"/>
      <c r="K30" s="646"/>
      <c r="L30" s="646"/>
      <c r="M30" s="646"/>
      <c r="N30" s="646"/>
      <c r="O30" s="646"/>
      <c r="P30" s="646"/>
    </row>
    <row r="31" spans="1:16" ht="33.5" customHeight="1" x14ac:dyDescent="0.15">
      <c r="A31" s="647" t="s">
        <v>609</v>
      </c>
      <c r="B31" s="647"/>
      <c r="C31" s="647"/>
      <c r="D31" s="647"/>
      <c r="E31" s="647"/>
      <c r="F31" s="647"/>
      <c r="G31" s="647"/>
      <c r="H31" s="647"/>
      <c r="I31" s="647"/>
      <c r="J31" s="647"/>
      <c r="K31" s="647"/>
      <c r="L31" s="647"/>
      <c r="M31" s="647"/>
      <c r="N31" s="647"/>
      <c r="O31" s="647"/>
      <c r="P31" s="647"/>
    </row>
    <row r="32" spans="1:16" ht="30.5" customHeight="1" x14ac:dyDescent="0.15">
      <c r="A32" s="646" t="s">
        <v>610</v>
      </c>
      <c r="B32" s="646"/>
      <c r="C32" s="646"/>
      <c r="D32" s="646"/>
      <c r="E32" s="646"/>
      <c r="F32" s="646"/>
      <c r="G32" s="646"/>
      <c r="H32" s="646"/>
      <c r="I32" s="646"/>
      <c r="J32" s="646"/>
      <c r="K32" s="646"/>
      <c r="L32" s="646"/>
      <c r="M32" s="646"/>
      <c r="N32" s="646"/>
      <c r="O32" s="646"/>
      <c r="P32" s="646"/>
    </row>
    <row r="33" spans="1:16" ht="37.25" customHeight="1" x14ac:dyDescent="0.15">
      <c r="A33" s="647" t="s">
        <v>611</v>
      </c>
      <c r="B33" s="647"/>
      <c r="C33" s="647"/>
      <c r="D33" s="647"/>
      <c r="E33" s="647"/>
      <c r="F33" s="647"/>
      <c r="G33" s="647"/>
      <c r="H33" s="647"/>
      <c r="I33" s="647"/>
      <c r="J33" s="647"/>
      <c r="K33" s="647"/>
      <c r="L33" s="647"/>
      <c r="M33" s="647"/>
      <c r="N33" s="647"/>
      <c r="O33" s="647"/>
      <c r="P33" s="647"/>
    </row>
    <row r="34" spans="1:16" ht="36" customHeight="1" x14ac:dyDescent="0.15">
      <c r="A34" s="646" t="s">
        <v>612</v>
      </c>
      <c r="B34" s="646"/>
      <c r="C34" s="646"/>
      <c r="D34" s="646"/>
      <c r="E34" s="646"/>
      <c r="F34" s="646"/>
      <c r="G34" s="646"/>
      <c r="H34" s="646"/>
      <c r="I34" s="646"/>
      <c r="J34" s="646"/>
      <c r="K34" s="646"/>
      <c r="L34" s="646"/>
      <c r="M34" s="646"/>
      <c r="N34" s="646"/>
      <c r="O34" s="646"/>
      <c r="P34" s="646"/>
    </row>
    <row r="35" spans="1:16" ht="77.75" customHeight="1" x14ac:dyDescent="0.15">
      <c r="A35" s="647" t="s">
        <v>613</v>
      </c>
      <c r="B35" s="647"/>
      <c r="C35" s="647"/>
      <c r="D35" s="647"/>
      <c r="E35" s="647"/>
      <c r="F35" s="647"/>
      <c r="G35" s="647"/>
      <c r="H35" s="647"/>
      <c r="I35" s="647"/>
      <c r="J35" s="647"/>
      <c r="K35" s="647"/>
      <c r="L35" s="647"/>
      <c r="M35" s="647"/>
      <c r="N35" s="647"/>
      <c r="O35" s="647"/>
      <c r="P35" s="647"/>
    </row>
    <row r="36" spans="1:16" ht="44" customHeight="1" x14ac:dyDescent="0.15">
      <c r="A36" s="647" t="s">
        <v>614</v>
      </c>
      <c r="B36" s="647"/>
      <c r="C36" s="647"/>
      <c r="D36" s="647"/>
      <c r="E36" s="647"/>
      <c r="F36" s="647"/>
      <c r="G36" s="647"/>
      <c r="H36" s="647"/>
      <c r="I36" s="647"/>
      <c r="J36" s="647"/>
      <c r="K36" s="647"/>
      <c r="L36" s="647"/>
      <c r="M36" s="647"/>
      <c r="N36" s="647"/>
      <c r="O36" s="647"/>
      <c r="P36" s="647"/>
    </row>
    <row r="37" spans="1:16" ht="30.5" customHeight="1" x14ac:dyDescent="0.15">
      <c r="A37" s="646" t="s">
        <v>615</v>
      </c>
      <c r="B37" s="646"/>
      <c r="C37" s="646"/>
      <c r="D37" s="646"/>
      <c r="E37" s="646"/>
      <c r="F37" s="646"/>
      <c r="G37" s="646"/>
      <c r="H37" s="646"/>
      <c r="I37" s="646"/>
      <c r="J37" s="646"/>
      <c r="K37" s="646"/>
      <c r="L37" s="646"/>
      <c r="M37" s="646"/>
      <c r="N37" s="646"/>
      <c r="O37" s="646"/>
      <c r="P37" s="646"/>
    </row>
    <row r="38" spans="1:16" ht="36" customHeight="1" x14ac:dyDescent="0.15">
      <c r="A38" s="649" t="s">
        <v>616</v>
      </c>
      <c r="B38" s="649"/>
      <c r="C38" s="649"/>
      <c r="D38" s="649"/>
      <c r="E38" s="649"/>
      <c r="F38" s="649"/>
      <c r="G38" s="649"/>
      <c r="H38" s="649"/>
      <c r="I38" s="649"/>
      <c r="J38" s="649"/>
      <c r="K38" s="649"/>
      <c r="L38" s="649"/>
      <c r="M38" s="649"/>
      <c r="N38" s="649"/>
      <c r="O38" s="649"/>
      <c r="P38" s="649"/>
    </row>
    <row r="39" spans="1:16" ht="25.25" customHeight="1" x14ac:dyDescent="0.15">
      <c r="A39" s="646" t="s">
        <v>617</v>
      </c>
      <c r="B39" s="646"/>
      <c r="C39" s="646"/>
      <c r="D39" s="646"/>
      <c r="E39" s="646"/>
      <c r="F39" s="646"/>
      <c r="G39" s="646"/>
      <c r="H39" s="646"/>
      <c r="I39" s="646"/>
      <c r="J39" s="646"/>
      <c r="K39" s="646"/>
      <c r="L39" s="646"/>
      <c r="M39" s="646"/>
      <c r="N39" s="646"/>
      <c r="O39" s="646"/>
      <c r="P39" s="646"/>
    </row>
    <row r="40" spans="1:16" ht="25.25" customHeight="1" x14ac:dyDescent="0.15">
      <c r="A40" s="647" t="s">
        <v>618</v>
      </c>
      <c r="B40" s="647"/>
      <c r="C40" s="647"/>
      <c r="D40" s="647"/>
      <c r="E40" s="647"/>
      <c r="F40" s="647"/>
      <c r="G40" s="647"/>
      <c r="H40" s="647"/>
      <c r="I40" s="647"/>
      <c r="J40" s="647"/>
      <c r="K40" s="647"/>
      <c r="L40" s="647"/>
      <c r="M40" s="647"/>
      <c r="N40" s="647"/>
      <c r="O40" s="647"/>
      <c r="P40" s="647"/>
    </row>
    <row r="41" spans="1:16" ht="25.25" customHeight="1" x14ac:dyDescent="0.15">
      <c r="A41" s="646" t="s">
        <v>619</v>
      </c>
      <c r="B41" s="646"/>
      <c r="C41" s="646"/>
      <c r="D41" s="646"/>
      <c r="E41" s="646"/>
      <c r="F41" s="646"/>
      <c r="G41" s="646"/>
      <c r="H41" s="646"/>
      <c r="I41" s="646"/>
      <c r="J41" s="646"/>
      <c r="K41" s="646"/>
      <c r="L41" s="646"/>
      <c r="M41" s="646"/>
      <c r="N41" s="646"/>
      <c r="O41" s="646"/>
      <c r="P41" s="646"/>
    </row>
    <row r="42" spans="1:16" ht="48.5" customHeight="1" x14ac:dyDescent="0.15">
      <c r="A42" s="647" t="s">
        <v>620</v>
      </c>
      <c r="B42" s="647"/>
      <c r="C42" s="647"/>
      <c r="D42" s="647"/>
      <c r="E42" s="647"/>
      <c r="F42" s="647"/>
      <c r="G42" s="647"/>
      <c r="H42" s="647"/>
      <c r="I42" s="647"/>
      <c r="J42" s="647"/>
      <c r="K42" s="647"/>
      <c r="L42" s="647"/>
      <c r="M42" s="647"/>
      <c r="N42" s="647"/>
      <c r="O42" s="647"/>
      <c r="P42" s="647"/>
    </row>
    <row r="43" spans="1:16" ht="33.5" customHeight="1" x14ac:dyDescent="0.15">
      <c r="A43" s="646" t="s">
        <v>621</v>
      </c>
      <c r="B43" s="646"/>
      <c r="C43" s="646"/>
      <c r="D43" s="646"/>
      <c r="E43" s="646"/>
      <c r="F43" s="646"/>
      <c r="G43" s="646"/>
      <c r="H43" s="646"/>
      <c r="I43" s="646"/>
      <c r="J43" s="646"/>
      <c r="K43" s="646"/>
      <c r="L43" s="646"/>
      <c r="M43" s="646"/>
      <c r="N43" s="646"/>
      <c r="O43" s="646"/>
      <c r="P43" s="646"/>
    </row>
    <row r="44" spans="1:16" x14ac:dyDescent="0.15">
      <c r="A44" s="647" t="s">
        <v>622</v>
      </c>
      <c r="B44" s="647"/>
      <c r="C44" s="647"/>
      <c r="D44" s="647"/>
      <c r="E44" s="647"/>
      <c r="F44" s="647"/>
      <c r="G44" s="647"/>
      <c r="H44" s="647"/>
      <c r="I44" s="647"/>
      <c r="J44" s="647"/>
      <c r="K44" s="647"/>
      <c r="L44" s="647"/>
      <c r="M44" s="647"/>
      <c r="N44" s="647"/>
      <c r="O44" s="647"/>
      <c r="P44" s="647"/>
    </row>
    <row r="45" spans="1:16" ht="40.5" customHeight="1" x14ac:dyDescent="0.15">
      <c r="A45" s="647" t="s">
        <v>623</v>
      </c>
      <c r="B45" s="647"/>
      <c r="C45" s="647"/>
      <c r="D45" s="647"/>
      <c r="E45" s="647"/>
      <c r="F45" s="647"/>
      <c r="G45" s="647"/>
      <c r="H45" s="647"/>
      <c r="I45" s="647"/>
      <c r="J45" s="647"/>
      <c r="K45" s="647"/>
      <c r="L45" s="647"/>
      <c r="M45" s="647"/>
      <c r="N45" s="647"/>
      <c r="O45" s="647"/>
      <c r="P45" s="647"/>
    </row>
    <row r="46" spans="1:16" ht="45" customHeight="1" x14ac:dyDescent="0.15">
      <c r="A46" s="646" t="s">
        <v>624</v>
      </c>
      <c r="B46" s="646"/>
      <c r="C46" s="646"/>
      <c r="D46" s="646"/>
      <c r="E46" s="646"/>
      <c r="F46" s="646"/>
      <c r="G46" s="646"/>
      <c r="H46" s="646"/>
      <c r="I46" s="646"/>
      <c r="J46" s="646"/>
      <c r="K46" s="646"/>
      <c r="L46" s="646"/>
      <c r="M46" s="646"/>
      <c r="N46" s="646"/>
      <c r="O46" s="646"/>
      <c r="P46" s="646"/>
    </row>
    <row r="47" spans="1:16" x14ac:dyDescent="0.15">
      <c r="A47" s="647" t="s">
        <v>625</v>
      </c>
      <c r="B47" s="647"/>
      <c r="C47" s="647"/>
      <c r="D47" s="647"/>
      <c r="E47" s="647"/>
      <c r="F47" s="647"/>
      <c r="G47" s="647"/>
      <c r="H47" s="647"/>
      <c r="I47" s="647"/>
      <c r="J47" s="647"/>
      <c r="K47" s="647"/>
      <c r="L47" s="647"/>
      <c r="M47" s="647"/>
      <c r="N47" s="647"/>
      <c r="O47" s="647"/>
      <c r="P47" s="647"/>
    </row>
    <row r="48" spans="1:16" ht="42.5" customHeight="1" x14ac:dyDescent="0.15">
      <c r="A48" s="646" t="s">
        <v>626</v>
      </c>
      <c r="B48" s="646"/>
      <c r="C48" s="646"/>
      <c r="D48" s="646"/>
      <c r="E48" s="646"/>
      <c r="F48" s="646"/>
      <c r="G48" s="646"/>
      <c r="H48" s="646"/>
      <c r="I48" s="646"/>
      <c r="J48" s="646"/>
      <c r="K48" s="646"/>
      <c r="L48" s="646"/>
      <c r="M48" s="646"/>
      <c r="N48" s="646"/>
      <c r="O48" s="646"/>
      <c r="P48" s="646"/>
    </row>
    <row r="49" spans="1:16" x14ac:dyDescent="0.15">
      <c r="A49" s="645" t="s">
        <v>627</v>
      </c>
      <c r="B49" s="645"/>
      <c r="C49" s="645"/>
      <c r="D49" s="645"/>
      <c r="E49" s="645"/>
      <c r="F49" s="645"/>
      <c r="G49" s="645"/>
      <c r="H49" s="645"/>
      <c r="I49" s="645"/>
      <c r="J49" s="645"/>
      <c r="K49" s="645"/>
      <c r="L49" s="645"/>
      <c r="M49" s="645"/>
      <c r="N49" s="645"/>
      <c r="O49" s="645"/>
      <c r="P49" s="645"/>
    </row>
    <row r="50" spans="1:16" ht="35" customHeight="1" x14ac:dyDescent="0.15">
      <c r="A50" s="646" t="s">
        <v>628</v>
      </c>
      <c r="B50" s="646"/>
      <c r="C50" s="646"/>
      <c r="D50" s="646"/>
      <c r="E50" s="646"/>
      <c r="F50" s="646"/>
      <c r="G50" s="646"/>
      <c r="H50" s="646"/>
      <c r="I50" s="646"/>
      <c r="J50" s="646"/>
      <c r="K50" s="646"/>
      <c r="L50" s="646"/>
      <c r="M50" s="646"/>
      <c r="N50" s="646"/>
      <c r="O50" s="646"/>
      <c r="P50" s="646"/>
    </row>
    <row r="51" spans="1:16" ht="41" customHeight="1" x14ac:dyDescent="0.15">
      <c r="A51" s="647" t="s">
        <v>629</v>
      </c>
      <c r="B51" s="647"/>
      <c r="C51" s="647"/>
      <c r="D51" s="647"/>
      <c r="E51" s="647"/>
      <c r="F51" s="647"/>
      <c r="G51" s="647"/>
      <c r="H51" s="647"/>
      <c r="I51" s="647"/>
      <c r="J51" s="647"/>
      <c r="K51" s="647"/>
      <c r="L51" s="647"/>
      <c r="M51" s="647"/>
      <c r="N51" s="647"/>
      <c r="O51" s="647"/>
      <c r="P51" s="647"/>
    </row>
    <row r="52" spans="1:16" ht="22.25" customHeight="1" x14ac:dyDescent="0.15">
      <c r="A52" s="648" t="s">
        <v>242</v>
      </c>
      <c r="B52" s="648"/>
      <c r="C52" s="648"/>
      <c r="D52" s="648"/>
      <c r="E52" s="648"/>
      <c r="F52" s="648"/>
      <c r="G52" s="648"/>
      <c r="H52" s="648"/>
      <c r="I52" s="648" t="s">
        <v>577</v>
      </c>
      <c r="J52" s="648"/>
      <c r="K52" s="648"/>
      <c r="L52" s="648"/>
      <c r="M52" s="648"/>
      <c r="N52" s="648"/>
      <c r="O52" s="648"/>
      <c r="P52" s="648"/>
    </row>
    <row r="53" spans="1:16" ht="64.25" customHeight="1" x14ac:dyDescent="0.15">
      <c r="A53" s="646" t="s">
        <v>630</v>
      </c>
      <c r="B53" s="646"/>
      <c r="C53" s="646"/>
      <c r="D53" s="646"/>
      <c r="E53" s="646"/>
      <c r="F53" s="646"/>
      <c r="G53" s="646"/>
      <c r="H53" s="646"/>
      <c r="I53" s="646" t="s">
        <v>631</v>
      </c>
      <c r="J53" s="646"/>
      <c r="K53" s="646"/>
      <c r="L53" s="646"/>
      <c r="M53" s="646"/>
      <c r="N53" s="646"/>
      <c r="O53" s="646"/>
      <c r="P53" s="646"/>
    </row>
    <row r="54" spans="1:16" x14ac:dyDescent="0.15">
      <c r="A54" s="644" t="s">
        <v>632</v>
      </c>
      <c r="B54" s="644"/>
      <c r="C54" s="644"/>
      <c r="D54" s="644"/>
      <c r="E54" s="644"/>
      <c r="F54" s="644"/>
      <c r="G54" s="644"/>
      <c r="H54" s="644"/>
      <c r="I54" s="644"/>
      <c r="J54" s="644"/>
      <c r="K54" s="644"/>
      <c r="L54" s="644"/>
      <c r="M54" s="644"/>
      <c r="N54" s="644"/>
      <c r="O54" s="644"/>
      <c r="P54" s="644"/>
    </row>
  </sheetData>
  <mergeCells count="65">
    <mergeCell ref="B1:N1"/>
    <mergeCell ref="A2:N2"/>
    <mergeCell ref="A4:P4"/>
    <mergeCell ref="A5:H5"/>
    <mergeCell ref="I5:P5"/>
    <mergeCell ref="A6:H6"/>
    <mergeCell ref="I6:P6"/>
    <mergeCell ref="A7:H7"/>
    <mergeCell ref="I7:P7"/>
    <mergeCell ref="A8:H8"/>
    <mergeCell ref="I8:P8"/>
    <mergeCell ref="A9:H9"/>
    <mergeCell ref="I9:P10"/>
    <mergeCell ref="A10:H10"/>
    <mergeCell ref="A11:H11"/>
    <mergeCell ref="A12:H12"/>
    <mergeCell ref="A13:H13"/>
    <mergeCell ref="A14:H14"/>
    <mergeCell ref="A15:P15"/>
    <mergeCell ref="A16:H16"/>
    <mergeCell ref="I16:P16"/>
    <mergeCell ref="A17:H17"/>
    <mergeCell ref="I17:P17"/>
    <mergeCell ref="A18:H18"/>
    <mergeCell ref="I18:P18"/>
    <mergeCell ref="A19:H19"/>
    <mergeCell ref="I19:P19"/>
    <mergeCell ref="A20:H20"/>
    <mergeCell ref="A21:H21"/>
    <mergeCell ref="A22:H22"/>
    <mergeCell ref="A23:H23"/>
    <mergeCell ref="A24:H24"/>
    <mergeCell ref="A25:H25"/>
    <mergeCell ref="I25:P25"/>
    <mergeCell ref="A26:P26"/>
    <mergeCell ref="A27:P27"/>
    <mergeCell ref="A28:P28"/>
    <mergeCell ref="A29:P29"/>
    <mergeCell ref="A30:P30"/>
    <mergeCell ref="A31:P31"/>
    <mergeCell ref="A32:P32"/>
    <mergeCell ref="A33:P33"/>
    <mergeCell ref="A34:P34"/>
    <mergeCell ref="A35:P35"/>
    <mergeCell ref="A36:P36"/>
    <mergeCell ref="A37:P37"/>
    <mergeCell ref="A38:P38"/>
    <mergeCell ref="A39:P39"/>
    <mergeCell ref="A40:P40"/>
    <mergeCell ref="A41:P41"/>
    <mergeCell ref="A42:P42"/>
    <mergeCell ref="A43:P43"/>
    <mergeCell ref="A44:P44"/>
    <mergeCell ref="A45:P45"/>
    <mergeCell ref="A46:P46"/>
    <mergeCell ref="A47:P47"/>
    <mergeCell ref="A48:P48"/>
    <mergeCell ref="A54:P54"/>
    <mergeCell ref="A49:P49"/>
    <mergeCell ref="A50:P50"/>
    <mergeCell ref="A51:P51"/>
    <mergeCell ref="A52:H52"/>
    <mergeCell ref="I52:P52"/>
    <mergeCell ref="A53:H53"/>
    <mergeCell ref="I53:P53"/>
  </mergeCells>
  <pageMargins left="0.7" right="0.7" top="0.75" bottom="0.75" header="0.3" footer="0.3"/>
  <pageSetup paperSize="9" scale="32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56e2506-7beb-4008-8a7f-a2801db388c1">
      <UserInfo>
        <DisplayName>Русаков Никита Вадимович</DisplayName>
        <AccountId>283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E68C95CDA0273F42AD1B0393BFC240EC" ma:contentTypeVersion="10" ma:contentTypeDescription="Создание документа." ma:contentTypeScope="" ma:versionID="765866b408d1e8cc8a573385dc8a330c">
  <xsd:schema xmlns:xsd="http://www.w3.org/2001/XMLSchema" xmlns:xs="http://www.w3.org/2001/XMLSchema" xmlns:p="http://schemas.microsoft.com/office/2006/metadata/properties" xmlns:ns2="cc566530-7067-416a-b990-47ef43da50fa" xmlns:ns3="656e2506-7beb-4008-8a7f-a2801db388c1" targetNamespace="http://schemas.microsoft.com/office/2006/metadata/properties" ma:root="true" ma:fieldsID="fd81ee3fb688622deef858585d771415" ns2:_="" ns3:_="">
    <xsd:import namespace="cc566530-7067-416a-b990-47ef43da50fa"/>
    <xsd:import namespace="656e2506-7beb-4008-8a7f-a2801db388c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566530-7067-416a-b990-47ef43da50f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6e2506-7beb-4008-8a7f-a2801db388c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Общий доступ с использованием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Совместно с подробностями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2DAD55-0D75-4704-975A-0F78E03EB493}">
  <ds:schemaRefs>
    <ds:schemaRef ds:uri="http://schemas.microsoft.com/office/2006/documentManagement/types"/>
    <ds:schemaRef ds:uri="http://purl.org/dc/dcmitype/"/>
    <ds:schemaRef ds:uri="cc566530-7067-416a-b990-47ef43da50fa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www.w3.org/XML/1998/namespace"/>
    <ds:schemaRef ds:uri="656e2506-7beb-4008-8a7f-a2801db388c1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B8086C39-FB20-4B19-BB03-B994426520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566530-7067-416a-b990-47ef43da50fa"/>
    <ds:schemaRef ds:uri="656e2506-7beb-4008-8a7f-a2801db388c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1DD0C6-7CCE-41D5-8BC9-20FD40B9AF5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5</vt:i4>
      </vt:variant>
    </vt:vector>
  </HeadingPairs>
  <TitlesOfParts>
    <vt:vector size="15" baseType="lpstr">
      <vt:lpstr>Инструкция</vt:lpstr>
      <vt:lpstr>Чек-лист</vt:lpstr>
      <vt:lpstr>Tech</vt:lpstr>
      <vt:lpstr>Экономический эффект</vt:lpstr>
      <vt:lpstr>Декомпозиция ЭЭ</vt:lpstr>
      <vt:lpstr>Сверхурочные</vt:lpstr>
      <vt:lpstr>Реестр моделей ЭЭ</vt:lpstr>
      <vt:lpstr>Изменения</vt:lpstr>
      <vt:lpstr>списки</vt:lpstr>
      <vt:lpstr>Пример расчета</vt:lpstr>
      <vt:lpstr>'Пример расчета'!_ftn1</vt:lpstr>
      <vt:lpstr>'Пример расчета'!_ftnref1</vt:lpstr>
      <vt:lpstr>'Чек-лист'!Область_печати</vt:lpstr>
      <vt:lpstr>'Экономический эффект'!Область_печати</vt:lpstr>
      <vt:lpstr>'Чек-лист'!Bottleneck_до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Александр Пегов</cp:lastModifiedBy>
  <cp:revision/>
  <cp:lastPrinted>2026-07-14T08:56:33Z</cp:lastPrinted>
  <dcterms:created xsi:type="dcterms:W3CDTF">2019-11-13T08:46:58Z</dcterms:created>
  <dcterms:modified xsi:type="dcterms:W3CDTF">2026-07-24T07:26:09Z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0x010100E68C95CDA0273F42AD1B0393BFC240EC</vt:lpwstr>
  </property>
</Properties>
</file>