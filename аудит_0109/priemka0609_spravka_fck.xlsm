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jpeg" ContentType="image/jpe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ЭтаКнига"/>
  <bookViews>
    <workbookView visibility="visible" minimized="0" showHorizontalScroll="1" showVerticalScroll="1" showSheetTabs="1" xWindow="0" yWindow="600" windowWidth="33600" windowHeight="18840" tabRatio="796" firstSheet="0" activeTab="1" autoFilterDateGrouping="1"/>
  </bookViews>
  <sheets>
    <sheet xmlns:r="http://schemas.openxmlformats.org/officeDocument/2006/relationships" name="Инструкция" sheetId="1" state="visible" r:id="rId1"/>
    <sheet xmlns:r="http://schemas.openxmlformats.org/officeDocument/2006/relationships" name="Чек-лист" sheetId="2" state="visible" r:id="rId2"/>
    <sheet xmlns:r="http://schemas.openxmlformats.org/officeDocument/2006/relationships" name="Tech" sheetId="3" state="hidden" r:id="rId3"/>
    <sheet xmlns:r="http://schemas.openxmlformats.org/officeDocument/2006/relationships" name="Экономический эффект" sheetId="4" state="visible" r:id="rId4"/>
    <sheet xmlns:r="http://schemas.openxmlformats.org/officeDocument/2006/relationships" name="Декомпозиция ЭЭ" sheetId="5" state="visible" r:id="rId5"/>
    <sheet xmlns:r="http://schemas.openxmlformats.org/officeDocument/2006/relationships" name="Сверхурочные" sheetId="6" state="visible" r:id="rId6"/>
    <sheet xmlns:r="http://schemas.openxmlformats.org/officeDocument/2006/relationships" name="Реестр моделей ЭЭ" sheetId="7" state="visible" r:id="rId7"/>
    <sheet xmlns:r="http://schemas.openxmlformats.org/officeDocument/2006/relationships" name="Изменения" sheetId="8" state="hidden" r:id="rId8"/>
    <sheet xmlns:r="http://schemas.openxmlformats.org/officeDocument/2006/relationships" name="списки" sheetId="9" state="hidden" r:id="rId9"/>
    <sheet xmlns:r="http://schemas.openxmlformats.org/officeDocument/2006/relationships" name="Пример расчета" sheetId="10" state="hidden" r:id="rId10"/>
  </sheets>
  <externalReferences>
    <externalReference xmlns:r="http://schemas.openxmlformats.org/officeDocument/2006/relationships" r:id="rId11"/>
    <externalReference xmlns:r="http://schemas.openxmlformats.org/officeDocument/2006/relationships" r:id="rId12"/>
  </externalReferences>
  <definedNames>
    <definedName name="Bottleneck_до" localSheetId="1">'Чек-лист'!$G$174</definedName>
    <definedName name="_xlnm._FilterDatabase" localSheetId="1" hidden="1">'Чек-лист'!$A$16:$K$192</definedName>
    <definedName name="_xlnm.Print_Area" localSheetId="1">'Чек-лист'!$C$4:$H$203</definedName>
    <definedName name="_xlnm._FilterDatabase" localSheetId="3" hidden="1">'Экономический эффект'!$B$9:$G$133</definedName>
    <definedName name="_xlnm.Print_Area" localSheetId="3">'Экономический эффект'!$B$6:$G$179</definedName>
    <definedName name="_ftn1" localSheetId="9">'Пример расчета'!$B$174</definedName>
    <definedName name="_ftnref1" localSheetId="9">'Пример расчета'!$B$26</definedName>
  </definedNames>
  <calcPr calcId="191029" fullCalcOnLoad="1"/>
</workbook>
</file>

<file path=xl/styles.xml><?xml version="1.0" encoding="utf-8"?>
<styleSheet xmlns="http://schemas.openxmlformats.org/spreadsheetml/2006/main">
  <numFmts count="11">
    <numFmt numFmtId="164" formatCode="#,##0.000"/>
    <numFmt numFmtId="165" formatCode="_-* #,##0_-;\-* #,##0_-;_-* &quot;-&quot;??_-;_-@_-"/>
    <numFmt numFmtId="166" formatCode="_-* #,##0.00_-;\-* #,##0.00_-;_-* &quot;-&quot;??_-;_-@_-"/>
    <numFmt numFmtId="167" formatCode="_-* #,##0.00\ _₽_-;\-* #,##0.00\ _₽_-;_-* &quot;-&quot;??\ _₽_-;_-@_-"/>
    <numFmt numFmtId="168" formatCode="0.000%"/>
    <numFmt numFmtId="169" formatCode="_-* #,##0.0_-;\-* #,##0.0_-;_-* &quot;-&quot;??_-;_-@_-"/>
    <numFmt numFmtId="170" formatCode="#,##0.0000000"/>
    <numFmt numFmtId="171" formatCode="0.0000"/>
    <numFmt numFmtId="172" formatCode="0.0"/>
    <numFmt numFmtId="173" formatCode="#,##0_ ;\-#,##0\ "/>
    <numFmt numFmtId="174" formatCode="_-* #,##0.00000_-;\-* #,##0.00000_-;_-* &quot;-&quot;??_-;_-@_-"/>
  </numFmts>
  <fonts count="71">
    <font>
      <name val="Calibri"/>
      <charset val="204"/>
      <family val="2"/>
      <color theme="1"/>
      <sz val="11"/>
      <scheme val="minor"/>
    </font>
    <font>
      <name val="Calibri"/>
      <charset val="204"/>
      <family val="2"/>
      <color theme="1"/>
      <sz val="9"/>
      <scheme val="minor"/>
    </font>
    <font>
      <name val="Calibri"/>
      <charset val="204"/>
      <family val="2"/>
      <b val="1"/>
      <color theme="0"/>
      <sz val="9"/>
      <scheme val="minor"/>
    </font>
    <font>
      <name val="Calibri"/>
      <charset val="204"/>
      <family val="2"/>
      <b val="1"/>
      <color rgb="FF0070C0"/>
      <sz val="18"/>
      <scheme val="minor"/>
    </font>
    <font>
      <name val="Calibri"/>
      <charset val="204"/>
      <family val="2"/>
      <color theme="0"/>
      <sz val="9"/>
      <scheme val="minor"/>
    </font>
    <font>
      <name val="Calibri"/>
      <charset val="204"/>
      <family val="2"/>
      <b val="1"/>
      <color theme="1" tint="0.499984740745262"/>
      <sz val="18"/>
      <scheme val="minor"/>
    </font>
    <font>
      <name val="Calibri"/>
      <charset val="204"/>
      <family val="2"/>
      <color theme="1"/>
      <sz val="11"/>
      <scheme val="minor"/>
    </font>
    <font>
      <name val="Calibri"/>
      <charset val="204"/>
      <family val="2"/>
      <sz val="11"/>
      <scheme val="minor"/>
    </font>
    <font>
      <name val="Calibri"/>
      <charset val="204"/>
      <family val="2"/>
      <sz val="9"/>
      <scheme val="minor"/>
    </font>
    <font>
      <name val="Calibri"/>
      <charset val="204"/>
      <family val="2"/>
      <b val="1"/>
      <color theme="1"/>
      <sz val="12"/>
      <scheme val="minor"/>
    </font>
    <font>
      <name val="Calibri"/>
      <charset val="204"/>
      <family val="2"/>
      <b val="1"/>
      <color theme="1"/>
      <sz val="11"/>
      <scheme val="minor"/>
    </font>
    <font>
      <name val="Calibri"/>
      <charset val="204"/>
      <family val="2"/>
      <color theme="1"/>
      <sz val="14"/>
      <scheme val="minor"/>
    </font>
    <font>
      <name val="Calibri"/>
      <charset val="204"/>
      <family val="2"/>
      <b val="1"/>
      <color theme="1"/>
      <sz val="14"/>
      <scheme val="minor"/>
    </font>
    <font>
      <name val="Calibri"/>
      <charset val="204"/>
      <family val="2"/>
      <color theme="1"/>
      <sz val="8"/>
      <scheme val="minor"/>
    </font>
    <font>
      <name val="Calibri"/>
      <charset val="204"/>
      <family val="2"/>
      <b val="1"/>
      <color theme="1"/>
      <sz val="8"/>
      <scheme val="minor"/>
    </font>
    <font>
      <name val="Calibri"/>
      <charset val="204"/>
      <family val="2"/>
      <b val="1"/>
      <sz val="11"/>
      <scheme val="minor"/>
    </font>
    <font>
      <name val="Calibri"/>
      <charset val="204"/>
      <family val="2"/>
      <i val="1"/>
      <color theme="1" tint="0.3499862666707358"/>
      <sz val="9.5"/>
      <scheme val="minor"/>
    </font>
    <font>
      <name val="Calibri"/>
      <charset val="204"/>
      <family val="2"/>
      <i val="1"/>
      <color theme="1" tint="0.3499862666707358"/>
      <sz val="8"/>
      <scheme val="minor"/>
    </font>
    <font>
      <name val="Calibri"/>
      <charset val="204"/>
      <family val="2"/>
      <b val="1"/>
      <color theme="1"/>
      <sz val="9"/>
      <scheme val="minor"/>
    </font>
    <font>
      <name val="Calibri"/>
      <charset val="204"/>
      <family val="2"/>
      <b val="1"/>
      <sz val="9"/>
      <scheme val="minor"/>
    </font>
    <font>
      <name val="Calibri"/>
      <charset val="204"/>
      <family val="2"/>
      <color theme="1"/>
      <sz val="10"/>
      <scheme val="minor"/>
    </font>
    <font>
      <name val="Calibri"/>
      <charset val="204"/>
      <family val="2"/>
      <color theme="1"/>
      <sz val="11"/>
      <u val="single"/>
      <scheme val="minor"/>
    </font>
    <font>
      <name val="Calibri"/>
      <charset val="204"/>
      <family val="2"/>
      <b val="1"/>
      <color rgb="FF7030A0"/>
      <sz val="9"/>
      <scheme val="minor"/>
    </font>
    <font>
      <name val="Calibri"/>
      <charset val="204"/>
      <family val="2"/>
      <sz val="8"/>
      <scheme val="minor"/>
    </font>
    <font>
      <name val="Times New Roman"/>
      <charset val="204"/>
      <family val="1"/>
      <color theme="1"/>
      <sz val="11"/>
    </font>
    <font>
      <name val="Times New Roman"/>
      <charset val="204"/>
      <family val="1"/>
      <color theme="1"/>
      <sz val="13"/>
    </font>
    <font>
      <name val="Times New Roman"/>
      <charset val="204"/>
      <family val="1"/>
      <sz val="11"/>
    </font>
    <font>
      <name val="Calibri"/>
      <charset val="204"/>
      <family val="2"/>
      <b val="1"/>
      <color theme="0" tint="-0.499984740745262"/>
      <sz val="9"/>
      <scheme val="minor"/>
    </font>
    <font>
      <name val="Calibri"/>
      <charset val="204"/>
      <family val="2"/>
      <color theme="1"/>
      <sz val="9"/>
      <u val="single"/>
      <scheme val="minor"/>
    </font>
    <font>
      <name val="Times New Roman"/>
      <charset val="204"/>
      <family val="1"/>
      <b val="1"/>
      <color theme="1"/>
      <sz val="11"/>
    </font>
    <font>
      <name val="Times New Roman"/>
      <charset val="204"/>
      <family val="1"/>
      <b val="1"/>
      <color theme="1"/>
      <sz val="14"/>
    </font>
    <font>
      <name val="Times New Roman"/>
      <charset val="204"/>
      <family val="1"/>
      <color theme="1"/>
      <sz val="8"/>
    </font>
    <font>
      <name val="Times New Roman"/>
      <charset val="204"/>
      <family val="1"/>
      <color theme="1"/>
      <sz val="14"/>
    </font>
    <font>
      <name val="Times New Roman"/>
      <charset val="204"/>
      <family val="1"/>
      <color rgb="FF000000"/>
      <sz val="11"/>
    </font>
    <font>
      <name val="Times New Roman"/>
      <charset val="204"/>
      <family val="1"/>
      <color rgb="FF000000"/>
      <sz val="12"/>
    </font>
    <font>
      <name val="Times New Roman"/>
      <charset val="204"/>
      <family val="1"/>
      <color theme="1"/>
      <sz val="12"/>
    </font>
    <font>
      <name val="Times New Roman"/>
      <charset val="204"/>
      <family val="1"/>
      <b val="1"/>
      <color rgb="FF000000"/>
      <sz val="16"/>
    </font>
    <font>
      <name val="Times New Roman"/>
      <charset val="204"/>
      <family val="1"/>
      <color rgb="FFFF0000"/>
      <sz val="11"/>
    </font>
    <font>
      <name val="Times New Roman"/>
      <charset val="204"/>
      <family val="1"/>
      <color rgb="FF00B0F0"/>
      <sz val="11"/>
    </font>
    <font>
      <name val="Times New Roman"/>
      <charset val="204"/>
      <family val="1"/>
      <b val="1"/>
      <sz val="11"/>
    </font>
    <font>
      <name val="Times New Roman"/>
      <charset val="204"/>
      <family val="1"/>
      <color rgb="FFFF0000"/>
      <sz val="13"/>
    </font>
    <font>
      <name val="Calibri"/>
      <charset val="204"/>
      <family val="2"/>
      <color theme="10"/>
      <sz val="11"/>
      <u val="single"/>
      <scheme val="minor"/>
    </font>
    <font>
      <name val="Calibri"/>
      <charset val="204"/>
      <family val="2"/>
      <b val="1"/>
      <sz val="12"/>
      <scheme val="minor"/>
    </font>
    <font>
      <name val="Calibri"/>
      <charset val="204"/>
      <family val="2"/>
      <i val="1"/>
      <sz val="8"/>
      <scheme val="minor"/>
    </font>
    <font>
      <name val="Calibri"/>
      <charset val="204"/>
      <family val="2"/>
      <b val="1"/>
      <sz val="8"/>
      <scheme val="minor"/>
    </font>
    <font>
      <name val="Calibri"/>
      <charset val="204"/>
      <family val="2"/>
      <i val="1"/>
      <sz val="9.5"/>
      <scheme val="minor"/>
    </font>
    <font>
      <name val="Times New Roman"/>
      <charset val="204"/>
      <family val="1"/>
      <color theme="0"/>
      <sz val="11"/>
    </font>
    <font>
      <name val="Calibri"/>
      <charset val="204"/>
      <family val="2"/>
      <i val="1"/>
      <color theme="0" tint="-0.3499862666707358"/>
      <sz val="9.5"/>
      <scheme val="minor"/>
    </font>
    <font>
      <name val="Calibri"/>
      <charset val="204"/>
      <family val="2"/>
      <b val="1"/>
      <color theme="0"/>
      <sz val="11"/>
      <scheme val="minor"/>
    </font>
    <font>
      <name val="Calibri"/>
      <charset val="204"/>
      <family val="2"/>
      <color theme="0"/>
      <sz val="11"/>
      <scheme val="minor"/>
    </font>
    <font>
      <name val="Calibri"/>
      <charset val="204"/>
      <family val="2"/>
      <i val="1"/>
      <color theme="0"/>
      <sz val="9.5"/>
      <scheme val="minor"/>
    </font>
    <font>
      <name val="Times New Roman"/>
      <charset val="204"/>
      <family val="1"/>
      <color theme="10"/>
      <sz val="11"/>
      <u val="single"/>
    </font>
    <font>
      <name val="Calibri"/>
      <charset val="204"/>
      <family val="2"/>
      <color theme="1"/>
      <sz val="12"/>
      <scheme val="minor"/>
    </font>
    <font>
      <name val="Calibri"/>
      <charset val="204"/>
      <family val="2"/>
      <b val="1"/>
      <color theme="0"/>
      <sz val="12"/>
      <scheme val="minor"/>
    </font>
    <font>
      <name val="Times New Roman"/>
      <charset val="204"/>
      <family val="1"/>
      <b val="1"/>
      <color theme="1"/>
      <sz val="12"/>
    </font>
    <font>
      <name val="Times New Roman"/>
      <charset val="204"/>
      <family val="1"/>
      <sz val="12"/>
    </font>
    <font>
      <name val="Times New Roman"/>
      <charset val="204"/>
      <family val="1"/>
      <b val="1"/>
      <sz val="12"/>
    </font>
    <font>
      <name val="Times New Roman"/>
      <charset val="204"/>
      <family val="1"/>
      <color rgb="FFFF0000"/>
      <sz val="12"/>
    </font>
    <font>
      <name val="Calibri"/>
      <charset val="204"/>
      <family val="2"/>
      <color theme="1" tint="0.499984740745262"/>
      <sz val="11"/>
      <scheme val="minor"/>
    </font>
    <font>
      <name val="Times New Roman"/>
      <charset val="204"/>
      <family val="1"/>
      <b val="1"/>
      <color theme="1"/>
      <sz val="16"/>
    </font>
    <font>
      <name val="Calibri"/>
      <charset val="204"/>
      <family val="2"/>
      <color rgb="FFFF0000"/>
      <sz val="14"/>
      <scheme val="minor"/>
    </font>
    <font>
      <name val="Calibri"/>
      <charset val="204"/>
      <family val="2"/>
      <i val="1"/>
      <color theme="1" tint="0.499984740745262"/>
      <sz val="9.5"/>
      <scheme val="minor"/>
    </font>
    <font>
      <name val="Calibri"/>
      <charset val="204"/>
      <family val="2"/>
      <color theme="0"/>
      <sz val="14"/>
      <scheme val="minor"/>
    </font>
    <font>
      <name val="Calibri"/>
      <charset val="204"/>
      <family val="2"/>
      <color theme="0"/>
      <sz val="11"/>
      <u val="single"/>
      <scheme val="minor"/>
    </font>
    <font>
      <name val="Times New Roman"/>
      <charset val="204"/>
      <family val="1"/>
      <i val="1"/>
      <color theme="1" tint="0.3499862666707358"/>
      <sz val="11"/>
    </font>
    <font>
      <name val="Times New Roman"/>
      <charset val="204"/>
      <family val="1"/>
      <i val="1"/>
      <color theme="0" tint="-0.499984740745262"/>
      <sz val="11"/>
    </font>
    <font>
      <name val="Times New Roman"/>
      <charset val="204"/>
      <family val="1"/>
      <sz val="13"/>
    </font>
    <font>
      <name val="Calibri"/>
      <charset val="204"/>
      <family val="2"/>
      <i val="1"/>
      <color theme="1"/>
      <sz val="11"/>
      <scheme val="minor"/>
    </font>
    <font>
      <name val="Times New Roman"/>
      <charset val="204"/>
      <family val="1"/>
      <color theme="0" tint="-0.499984740745262"/>
      <sz val="11"/>
    </font>
    <font>
      <name val="Calibri"/>
      <family val="2"/>
      <color rgb="FF000000"/>
      <sz val="14"/>
    </font>
    <font>
      <name val="Calibri"/>
      <family val="2"/>
      <color rgb="FF000000"/>
      <sz val="11"/>
    </font>
  </fonts>
  <fills count="22">
    <fill>
      <patternFill/>
    </fill>
    <fill>
      <patternFill patternType="gray125"/>
    </fill>
    <fill>
      <patternFill patternType="solid">
        <fgColor rgb="FF7EBA56"/>
        <bgColor indexed="64"/>
      </patternFill>
    </fill>
    <fill>
      <patternFill patternType="solid">
        <fgColor rgb="FFB98A57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 tint="-0.249946592608417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D998"/>
        <bgColor indexed="64"/>
      </patternFill>
    </fill>
  </fills>
  <borders count="261">
    <border>
      <left/>
      <right/>
      <top/>
      <bottom/>
      <diagonal/>
    </border>
    <border>
      <left style="thick">
        <color rgb="FF7EBA56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 style="thick">
        <color rgb="FF7EBA56"/>
      </right>
      <top style="thin">
        <color theme="0" tint="-0.249946592608417"/>
      </top>
      <bottom style="thin">
        <color theme="0" tint="-0.249946592608417"/>
      </bottom>
      <diagonal/>
    </border>
    <border>
      <left style="thick">
        <color rgb="FF7EBA56"/>
      </left>
      <right style="thin">
        <color theme="0" tint="-0.249946592608417"/>
      </right>
      <top style="thin">
        <color theme="0" tint="-0.249946592608417"/>
      </top>
      <bottom style="thick">
        <color rgb="FF7EBA56"/>
      </bottom>
      <diagonal/>
    </border>
    <border>
      <left style="thin">
        <color theme="0" tint="-0.249946592608417"/>
      </left>
      <right style="thick">
        <color rgb="FF7EBA56"/>
      </right>
      <top style="thin">
        <color theme="0" tint="-0.249946592608417"/>
      </top>
      <bottom style="thick">
        <color rgb="FF7EBA56"/>
      </bottom>
      <diagonal/>
    </border>
    <border>
      <left style="medium">
        <color rgb="FF7EBA56"/>
      </left>
      <right style="thin">
        <color theme="0" tint="-0.249946592608417"/>
      </right>
      <top style="medium">
        <color rgb="FF7EBA56"/>
      </top>
      <bottom style="thin">
        <color theme="0" tint="-0.249946592608417"/>
      </bottom>
      <diagonal/>
    </border>
    <border>
      <left style="thin">
        <color theme="0" tint="-0.249946592608417"/>
      </left>
      <right style="medium">
        <color rgb="FF7EBA56"/>
      </right>
      <top style="medium">
        <color rgb="FF7EBA56"/>
      </top>
      <bottom style="thin">
        <color theme="0" tint="-0.249946592608417"/>
      </bottom>
      <diagonal/>
    </border>
    <border>
      <left style="medium">
        <color rgb="FF7EBA56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 style="medium">
        <color rgb="FF7EBA56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rgb="FF7EBA56"/>
      </left>
      <right style="thin">
        <color theme="0" tint="-0.249946592608417"/>
      </right>
      <top style="thin">
        <color theme="0" tint="-0.249946592608417"/>
      </top>
      <bottom style="medium">
        <color rgb="FF7EBA56"/>
      </bottom>
      <diagonal/>
    </border>
    <border>
      <left style="thin">
        <color theme="0" tint="-0.249946592608417"/>
      </left>
      <right style="medium">
        <color rgb="FF7EBA56"/>
      </right>
      <top style="thin">
        <color theme="0" tint="-0.249946592608417"/>
      </top>
      <bottom style="medium">
        <color rgb="FF7EBA56"/>
      </bottom>
      <diagonal/>
    </border>
    <border>
      <left style="thick">
        <color rgb="FF7EBA56"/>
      </left>
      <right/>
      <top style="thick">
        <color rgb="FF7EBA56"/>
      </top>
      <bottom/>
      <diagonal/>
    </border>
    <border>
      <left style="thick">
        <color rgb="FF7EBA56"/>
      </left>
      <right/>
      <top/>
      <bottom/>
      <diagonal/>
    </border>
    <border>
      <left style="thick">
        <color rgb="FF7EBA56"/>
      </left>
      <right/>
      <top/>
      <bottom style="thick">
        <color rgb="FF7EBA56"/>
      </bottom>
      <diagonal/>
    </border>
    <border>
      <left style="thick">
        <color rgb="FF7EBA56"/>
      </left>
      <right style="thick">
        <color rgb="FF7EBA56"/>
      </right>
      <top style="thick">
        <color rgb="FF7EBA56"/>
      </top>
      <bottom/>
      <diagonal/>
    </border>
    <border>
      <left/>
      <right style="thick">
        <color rgb="FF7EBA56"/>
      </right>
      <top style="thick">
        <color rgb="FF7EBA56"/>
      </top>
      <bottom/>
      <diagonal/>
    </border>
    <border>
      <left/>
      <right/>
      <top style="thick">
        <color rgb="FF7EBA56"/>
      </top>
      <bottom/>
      <diagonal/>
    </border>
    <border>
      <left style="medium">
        <color rgb="FF7EBA56"/>
      </left>
      <right/>
      <top style="medium">
        <color rgb="FF7EBA56"/>
      </top>
      <bottom/>
      <diagonal/>
    </border>
    <border>
      <left/>
      <right/>
      <top style="medium">
        <color rgb="FF7EBA56"/>
      </top>
      <bottom/>
      <diagonal/>
    </border>
    <border>
      <left/>
      <right style="medium">
        <color rgb="FF7EBA56"/>
      </right>
      <top style="medium">
        <color rgb="FF7EBA56"/>
      </top>
      <bottom/>
      <diagonal/>
    </border>
    <border>
      <left style="thick">
        <color rgb="FF7EBA56"/>
      </left>
      <right/>
      <top style="medium">
        <color rgb="FF7EBA56"/>
      </top>
      <bottom/>
      <diagonal/>
    </border>
    <border>
      <left style="thick">
        <color rgb="FFB98A5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 style="thick">
        <color rgb="FFB98A57"/>
      </right>
      <top style="thin">
        <color theme="0" tint="-0.249946592608417"/>
      </top>
      <bottom style="thin">
        <color theme="0" tint="-0.249946592608417"/>
      </bottom>
      <diagonal/>
    </border>
    <border>
      <left style="thick">
        <color rgb="FFB98A57"/>
      </left>
      <right style="thin">
        <color theme="0" tint="-0.249946592608417"/>
      </right>
      <top style="thin">
        <color theme="0" tint="-0.249946592608417"/>
      </top>
      <bottom style="thick">
        <color rgb="FFB98A57"/>
      </bottom>
      <diagonal/>
    </border>
    <border>
      <left style="thin">
        <color theme="0" tint="-0.249946592608417"/>
      </left>
      <right style="thick">
        <color rgb="FFB98A57"/>
      </right>
      <top style="thin">
        <color theme="0" tint="-0.249946592608417"/>
      </top>
      <bottom style="thick">
        <color rgb="FFB98A57"/>
      </bottom>
      <diagonal/>
    </border>
    <border>
      <left style="medium">
        <color rgb="FFB98A5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 style="medium">
        <color rgb="FFB98A57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rgb="FFB98A57"/>
      </left>
      <right style="thin">
        <color theme="0" tint="-0.249946592608417"/>
      </right>
      <top style="thin">
        <color theme="0" tint="-0.249946592608417"/>
      </top>
      <bottom style="medium">
        <color rgb="FFB98A57"/>
      </bottom>
      <diagonal/>
    </border>
    <border>
      <left style="thin">
        <color theme="0" tint="-0.249946592608417"/>
      </left>
      <right style="medium">
        <color rgb="FFB98A57"/>
      </right>
      <top style="thin">
        <color theme="0" tint="-0.249946592608417"/>
      </top>
      <bottom style="medium">
        <color rgb="FFB98A57"/>
      </bottom>
      <diagonal/>
    </border>
    <border>
      <left/>
      <right/>
      <top style="medium">
        <color rgb="FFB98A57"/>
      </top>
      <bottom/>
      <diagonal/>
    </border>
    <border>
      <left style="thick">
        <color rgb="FFB98A57"/>
      </left>
      <right/>
      <top style="thick">
        <color rgb="FFB98A57"/>
      </top>
      <bottom/>
      <diagonal/>
    </border>
    <border>
      <left style="thick">
        <color rgb="FFB98A57"/>
      </left>
      <right/>
      <top/>
      <bottom/>
      <diagonal/>
    </border>
    <border>
      <left style="thick">
        <color rgb="FFB98A57"/>
      </left>
      <right/>
      <top/>
      <bottom style="thick">
        <color rgb="FFB98A57"/>
      </bottom>
      <diagonal/>
    </border>
    <border>
      <left style="thick">
        <color rgb="FFB98A57"/>
      </left>
      <right style="thick">
        <color rgb="FFB98A57"/>
      </right>
      <top style="thick">
        <color rgb="FFB98A57"/>
      </top>
      <bottom/>
      <diagonal/>
    </border>
    <border>
      <left/>
      <right/>
      <top style="thick">
        <color rgb="FFB98A57"/>
      </top>
      <bottom/>
      <diagonal/>
    </border>
    <border>
      <left style="medium">
        <color rgb="FFB98A57"/>
      </left>
      <right/>
      <top/>
      <bottom style="medium">
        <color rgb="FFB98A57"/>
      </bottom>
      <diagonal/>
    </border>
    <border>
      <left style="thick">
        <color rgb="FFB98A57"/>
      </left>
      <right/>
      <top style="medium">
        <color rgb="FFB98A57"/>
      </top>
      <bottom/>
      <diagonal/>
    </border>
    <border>
      <left style="thick">
        <color rgb="FFB98A57"/>
      </left>
      <right/>
      <top/>
      <bottom style="medium">
        <color rgb="FFB98A57"/>
      </bottom>
      <diagonal/>
    </border>
    <border>
      <left/>
      <right/>
      <top/>
      <bottom style="medium">
        <color rgb="FFB98A57"/>
      </bottom>
      <diagonal/>
    </border>
    <border>
      <left/>
      <right style="medium">
        <color rgb="FFB98A57"/>
      </right>
      <top/>
      <bottom style="medium">
        <color rgb="FFB98A57"/>
      </bottom>
      <diagonal/>
    </border>
    <border>
      <left/>
      <right style="thick">
        <color rgb="FFB98A57"/>
      </right>
      <top style="thick">
        <color rgb="FFB98A57"/>
      </top>
      <bottom/>
      <diagonal/>
    </border>
    <border>
      <left/>
      <right/>
      <top/>
      <bottom style="thick">
        <color rgb="FFB98A57"/>
      </bottom>
      <diagonal/>
    </border>
    <border>
      <left style="thick">
        <color rgb="FF666699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 style="thick">
        <color rgb="FF666699"/>
      </right>
      <top style="thin">
        <color theme="0" tint="-0.249946592608417"/>
      </top>
      <bottom style="thin">
        <color theme="0" tint="-0.249946592608417"/>
      </bottom>
      <diagonal/>
    </border>
    <border>
      <left style="thick">
        <color rgb="FF666699"/>
      </left>
      <right style="thin">
        <color theme="0" tint="-0.249946592608417"/>
      </right>
      <top style="thin">
        <color theme="0" tint="-0.249946592608417"/>
      </top>
      <bottom style="thick">
        <color rgb="FF666699"/>
      </bottom>
      <diagonal/>
    </border>
    <border>
      <left style="thin">
        <color theme="0" tint="-0.249946592608417"/>
      </left>
      <right style="thick">
        <color rgb="FF666699"/>
      </right>
      <top style="thin">
        <color theme="0" tint="-0.249946592608417"/>
      </top>
      <bottom style="thick">
        <color rgb="FF666699"/>
      </bottom>
      <diagonal/>
    </border>
    <border>
      <left style="thick">
        <color theme="6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 style="thick">
        <color theme="6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ck">
        <color theme="6" tint="-0.249946592608417"/>
      </left>
      <right style="thin">
        <color theme="0" tint="-0.249946592608417"/>
      </right>
      <top style="thin">
        <color theme="0" tint="-0.249946592608417"/>
      </top>
      <bottom style="thick">
        <color theme="6" tint="-0.249946592608417"/>
      </bottom>
      <diagonal/>
    </border>
    <border>
      <left style="thin">
        <color theme="0" tint="-0.249946592608417"/>
      </left>
      <right style="thick">
        <color theme="6" tint="-0.249946592608417"/>
      </right>
      <top style="thin">
        <color theme="0" tint="-0.249946592608417"/>
      </top>
      <bottom style="thick">
        <color theme="6" tint="-0.249946592608417"/>
      </bottom>
      <diagonal/>
    </border>
    <border>
      <left style="thick">
        <color theme="6" tint="-0.249946592608417"/>
      </left>
      <right/>
      <top style="thick">
        <color theme="6" tint="-0.249946592608417"/>
      </top>
      <bottom/>
      <diagonal/>
    </border>
    <border>
      <left style="thick">
        <color theme="6" tint="-0.249946592608417"/>
      </left>
      <right/>
      <top/>
      <bottom/>
      <diagonal/>
    </border>
    <border>
      <left style="thick">
        <color theme="6" tint="-0.249946592608417"/>
      </left>
      <right/>
      <top/>
      <bottom style="thick">
        <color theme="6" tint="-0.249946592608417"/>
      </bottom>
      <diagonal/>
    </border>
    <border>
      <left style="thick">
        <color theme="6" tint="-0.249946592608417"/>
      </left>
      <right style="thick">
        <color theme="6" tint="-0.249946592608417"/>
      </right>
      <top style="thick">
        <color theme="6" tint="-0.249946592608417"/>
      </top>
      <bottom/>
      <diagonal/>
    </border>
    <border>
      <left/>
      <right/>
      <top style="thick">
        <color theme="6" tint="-0.249946592608417"/>
      </top>
      <bottom/>
      <diagonal/>
    </border>
    <border>
      <left style="thick">
        <color theme="6" tint="-0.249946592608417"/>
      </left>
      <right/>
      <top style="medium">
        <color theme="6" tint="-0.249946592608417"/>
      </top>
      <bottom/>
      <diagonal/>
    </border>
    <border>
      <left/>
      <right/>
      <top style="medium">
        <color theme="6" tint="-0.249946592608417"/>
      </top>
      <bottom/>
      <diagonal/>
    </border>
    <border>
      <left style="medium">
        <color theme="6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 style="medium">
        <color theme="6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theme="6" tint="-0.249946592608417"/>
      </left>
      <right style="thin">
        <color theme="0" tint="-0.249946592608417"/>
      </right>
      <top style="thin">
        <color theme="0" tint="-0.249946592608417"/>
      </top>
      <bottom style="medium">
        <color theme="6" tint="-0.249946592608417"/>
      </bottom>
      <diagonal/>
    </border>
    <border>
      <left style="thin">
        <color theme="0" tint="-0.249946592608417"/>
      </left>
      <right style="medium">
        <color theme="6" tint="-0.249946592608417"/>
      </right>
      <top style="thin">
        <color theme="0" tint="-0.249946592608417"/>
      </top>
      <bottom style="medium">
        <color theme="6" tint="-0.249946592608417"/>
      </bottom>
      <diagonal/>
    </border>
    <border>
      <left style="medium">
        <color rgb="FF666699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 style="medium">
        <color rgb="FF666699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rgb="FF666699"/>
      </left>
      <right style="thin">
        <color theme="0" tint="-0.249946592608417"/>
      </right>
      <top style="thin">
        <color theme="0" tint="-0.249946592608417"/>
      </top>
      <bottom style="medium">
        <color rgb="FF666699"/>
      </bottom>
      <diagonal/>
    </border>
    <border>
      <left style="thin">
        <color theme="0" tint="-0.249946592608417"/>
      </left>
      <right style="medium">
        <color rgb="FF666699"/>
      </right>
      <top style="thin">
        <color theme="0" tint="-0.249946592608417"/>
      </top>
      <bottom style="medium">
        <color rgb="FF666699"/>
      </bottom>
      <diagonal/>
    </border>
    <border>
      <left style="medium">
        <color rgb="FF666699"/>
      </left>
      <right/>
      <top/>
      <bottom/>
      <diagonal/>
    </border>
    <border>
      <left/>
      <right style="medium">
        <color rgb="FF666699"/>
      </right>
      <top/>
      <bottom/>
      <diagonal/>
    </border>
    <border>
      <left style="medium">
        <color rgb="FF666699"/>
      </left>
      <right/>
      <top/>
      <bottom style="medium">
        <color rgb="FF666699"/>
      </bottom>
      <diagonal/>
    </border>
    <border>
      <left/>
      <right/>
      <top/>
      <bottom style="medium">
        <color rgb="FF666699"/>
      </bottom>
      <diagonal/>
    </border>
    <border>
      <left/>
      <right style="medium">
        <color rgb="FF666699"/>
      </right>
      <top/>
      <bottom style="medium">
        <color rgb="FF666699"/>
      </bottom>
      <diagonal/>
    </border>
    <border>
      <left style="thick">
        <color theme="4" tint="-0.249946592608417"/>
      </left>
      <right/>
      <top style="thin">
        <color theme="0" tint="-0.249946592608417"/>
      </top>
      <bottom style="thin">
        <color theme="0" tint="-0.249946592608417"/>
      </bottom>
      <diagonal/>
    </border>
    <border>
      <left/>
      <right style="thick">
        <color theme="4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 style="thick">
        <color theme="4" tint="-0.249946592608417"/>
      </right>
      <top style="thin">
        <color theme="0" tint="-0.249946592608417"/>
      </top>
      <bottom style="thick">
        <color theme="4" tint="-0.249946592608417"/>
      </bottom>
      <diagonal/>
    </border>
    <border>
      <left style="thin">
        <color theme="0" tint="-0.249946592608417"/>
      </left>
      <right style="thick">
        <color theme="4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/>
      <right/>
      <top/>
      <bottom style="medium">
        <color rgb="FF7EBA56"/>
      </bottom>
      <diagonal/>
    </border>
    <border>
      <left style="thick">
        <color rgb="FF7EBA56"/>
      </left>
      <right/>
      <top/>
      <bottom style="medium">
        <color rgb="FF7EBA56"/>
      </bottom>
      <diagonal/>
    </border>
    <border>
      <left style="medium">
        <color rgb="FF7EBA56"/>
      </left>
      <right/>
      <top/>
      <bottom/>
      <diagonal/>
    </border>
    <border>
      <left style="medium">
        <color rgb="FF7EBA56"/>
      </left>
      <right/>
      <top/>
      <bottom style="medium">
        <color rgb="FF7EBA56"/>
      </bottom>
      <diagonal/>
    </border>
    <border>
      <left/>
      <right style="medium">
        <color rgb="FF7EBA56"/>
      </right>
      <top/>
      <bottom style="medium">
        <color rgb="FF7EBA56"/>
      </bottom>
      <diagonal/>
    </border>
    <border>
      <left/>
      <right/>
      <top/>
      <bottom style="thick">
        <color rgb="FF7EBA56"/>
      </bottom>
      <diagonal/>
    </border>
    <border>
      <left style="thick">
        <color rgb="FFB98A57"/>
      </left>
      <right/>
      <top style="thin">
        <color theme="0" tint="-0.249946592608417"/>
      </top>
      <bottom style="thin">
        <color theme="0" tint="-0.249946592608417"/>
      </bottom>
      <diagonal/>
    </border>
    <border>
      <left/>
      <right style="thick">
        <color rgb="FFB98A57"/>
      </right>
      <top style="thin">
        <color theme="0" tint="-0.249946592608417"/>
      </top>
      <bottom style="thin">
        <color theme="0" tint="-0.249946592608417"/>
      </bottom>
      <diagonal/>
    </border>
    <border>
      <left style="thick">
        <color rgb="FFB98A57"/>
      </left>
      <right/>
      <top style="thick">
        <color rgb="FFB98A57"/>
      </top>
      <bottom style="thin">
        <color theme="0" tint="-0.249946592608417"/>
      </bottom>
      <diagonal/>
    </border>
    <border>
      <left/>
      <right style="thick">
        <color rgb="FFB98A57"/>
      </right>
      <top style="thick">
        <color rgb="FFB98A57"/>
      </top>
      <bottom style="thin">
        <color theme="0" tint="-0.249946592608417"/>
      </bottom>
      <diagonal/>
    </border>
    <border>
      <left style="medium">
        <color rgb="FF7EBA56"/>
      </left>
      <right/>
      <top style="thin">
        <color theme="0" tint="-0.249946592608417"/>
      </top>
      <bottom style="thin">
        <color theme="0" tint="-0.249946592608417"/>
      </bottom>
      <diagonal/>
    </border>
    <border>
      <left/>
      <right style="medium">
        <color rgb="FF7EBA56"/>
      </right>
      <top style="thin">
        <color theme="0" tint="-0.249946592608417"/>
      </top>
      <bottom style="thin">
        <color theme="0" tint="-0.249946592608417"/>
      </bottom>
      <diagonal/>
    </border>
    <border>
      <left style="thick">
        <color rgb="FF7EBA56"/>
      </left>
      <right/>
      <top style="thin">
        <color theme="0" tint="-0.249946592608417"/>
      </top>
      <bottom style="thin">
        <color theme="0" tint="-0.249946592608417"/>
      </bottom>
      <diagonal/>
    </border>
    <border>
      <left/>
      <right style="thick">
        <color rgb="FF7EBA56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rgb="FF7EBA56"/>
      </left>
      <right/>
      <top style="medium">
        <color rgb="FF7EBA56"/>
      </top>
      <bottom style="thin">
        <color theme="0" tint="-0.249946592608417"/>
      </bottom>
      <diagonal/>
    </border>
    <border>
      <left/>
      <right style="medium">
        <color rgb="FF7EBA56"/>
      </right>
      <top style="medium">
        <color rgb="FF7EBA56"/>
      </top>
      <bottom style="thin">
        <color theme="0" tint="-0.249946592608417"/>
      </bottom>
      <diagonal/>
    </border>
    <border>
      <left style="thick">
        <color rgb="FF7EBA56"/>
      </left>
      <right/>
      <top style="thick">
        <color rgb="FF7EBA56"/>
      </top>
      <bottom style="thin">
        <color theme="0" tint="-0.249946592608417"/>
      </bottom>
      <diagonal/>
    </border>
    <border>
      <left/>
      <right style="thick">
        <color rgb="FF7EBA56"/>
      </right>
      <top style="thick">
        <color rgb="FF7EBA56"/>
      </top>
      <bottom style="thin">
        <color theme="0" tint="-0.249946592608417"/>
      </bottom>
      <diagonal/>
    </border>
    <border>
      <left/>
      <right style="thick">
        <color rgb="FF7EBA56"/>
      </right>
      <top/>
      <bottom style="thick">
        <color rgb="FF7EBA56"/>
      </bottom>
      <diagonal/>
    </border>
    <border>
      <left style="thick">
        <color rgb="FF666699"/>
      </left>
      <right/>
      <top/>
      <bottom/>
      <diagonal/>
    </border>
    <border>
      <left style="thick">
        <color rgb="FF666699"/>
      </left>
      <right/>
      <top/>
      <bottom style="thick">
        <color rgb="FF666699"/>
      </bottom>
      <diagonal/>
    </border>
    <border>
      <left style="medium">
        <color rgb="FFB98A57"/>
      </left>
      <right/>
      <top style="thin">
        <color theme="0" tint="-0.249946592608417"/>
      </top>
      <bottom style="thin">
        <color theme="0" tint="-0.249946592608417"/>
      </bottom>
      <diagonal/>
    </border>
    <border>
      <left/>
      <right style="medium">
        <color rgb="FFB98A57"/>
      </right>
      <top style="thin">
        <color theme="0" tint="-0.249946592608417"/>
      </top>
      <bottom style="thin">
        <color theme="0" tint="-0.249946592608417"/>
      </bottom>
      <diagonal/>
    </border>
    <border>
      <left style="thick">
        <color theme="4" tint="-0.249946592608417"/>
      </left>
      <right/>
      <top style="thick">
        <color theme="4" tint="-0.249946592608417"/>
      </top>
      <bottom/>
      <diagonal/>
    </border>
    <border>
      <left/>
      <right/>
      <top style="thick">
        <color theme="4" tint="-0.249946592608417"/>
      </top>
      <bottom/>
      <diagonal/>
    </border>
    <border>
      <left style="thick">
        <color theme="4" tint="-0.249946592608417"/>
      </left>
      <right/>
      <top/>
      <bottom/>
      <diagonal/>
    </border>
    <border>
      <left style="thick">
        <color theme="4" tint="-0.249946592608417"/>
      </left>
      <right/>
      <top/>
      <bottom style="thick">
        <color theme="4" tint="-0.249946592608417"/>
      </bottom>
      <diagonal/>
    </border>
    <border>
      <left/>
      <right/>
      <top/>
      <bottom style="thick">
        <color theme="6" tint="-0.249946592608417"/>
      </bottom>
      <diagonal/>
    </border>
    <border>
      <left/>
      <right/>
      <top/>
      <bottom style="thick">
        <color rgb="FF666699"/>
      </bottom>
      <diagonal/>
    </border>
    <border>
      <left/>
      <right/>
      <top style="medium">
        <color theme="1" tint="0.499984740745262"/>
      </top>
      <bottom/>
      <diagonal/>
    </border>
    <border>
      <left/>
      <right/>
      <top/>
      <bottom style="medium">
        <color theme="1" tint="0.499984740745262"/>
      </bottom>
      <diagonal/>
    </border>
    <border>
      <left style="medium">
        <color rgb="FFB98A57"/>
      </left>
      <right/>
      <top style="medium">
        <color rgb="FFB98A57"/>
      </top>
      <bottom style="thin">
        <color theme="0" tint="-0.249946592608417"/>
      </bottom>
      <diagonal/>
    </border>
    <border>
      <left/>
      <right style="medium">
        <color rgb="FFB98A57"/>
      </right>
      <top style="medium">
        <color rgb="FFB98A57"/>
      </top>
      <bottom style="thin">
        <color theme="0" tint="-0.24994659260841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rgb="FF666699"/>
      </top>
      <bottom/>
      <diagonal/>
    </border>
    <border>
      <left style="thick">
        <color theme="4" tint="-0.249946592608417"/>
      </left>
      <right style="thin">
        <color theme="0" tint="-0.249946592608417"/>
      </right>
      <top style="thin">
        <color theme="0" tint="-0.249946592608417"/>
      </top>
      <bottom style="thick">
        <color theme="4" tint="-0.249946592608417"/>
      </bottom>
      <diagonal/>
    </border>
    <border>
      <left style="medium">
        <color rgb="FF666699"/>
      </left>
      <right/>
      <top style="thin">
        <color theme="0" tint="-0.249946592608417"/>
      </top>
      <bottom style="thin">
        <color theme="0" tint="-0.249946592608417"/>
      </bottom>
      <diagonal/>
    </border>
    <border>
      <left/>
      <right style="medium">
        <color rgb="FF666699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rgb="FF666699"/>
      </left>
      <right/>
      <top style="medium">
        <color rgb="FF666699"/>
      </top>
      <bottom style="thin">
        <color theme="0" tint="-0.249946592608417"/>
      </bottom>
      <diagonal/>
    </border>
    <border>
      <left/>
      <right style="medium">
        <color rgb="FF666699"/>
      </right>
      <top style="medium">
        <color rgb="FF666699"/>
      </top>
      <bottom style="thin">
        <color theme="0" tint="-0.249946592608417"/>
      </bottom>
      <diagonal/>
    </border>
    <border>
      <left style="thick">
        <color rgb="FF666699"/>
      </left>
      <right/>
      <top style="thin">
        <color theme="0" tint="-0.249946592608417"/>
      </top>
      <bottom style="thin">
        <color theme="0" tint="-0.249946592608417"/>
      </bottom>
      <diagonal/>
    </border>
    <border>
      <left/>
      <right style="thick">
        <color rgb="FF666699"/>
      </right>
      <top style="thin">
        <color theme="0" tint="-0.249946592608417"/>
      </top>
      <bottom style="thin">
        <color theme="0" tint="-0.249946592608417"/>
      </bottom>
      <diagonal/>
    </border>
    <border>
      <left style="thick">
        <color rgb="FF666699"/>
      </left>
      <right/>
      <top style="thick">
        <color rgb="FF666699"/>
      </top>
      <bottom style="thin">
        <color theme="0" tint="-0.249946592608417"/>
      </bottom>
      <diagonal/>
    </border>
    <border>
      <left/>
      <right style="thick">
        <color rgb="FF666699"/>
      </right>
      <top style="thick">
        <color rgb="FF666699"/>
      </top>
      <bottom style="thin">
        <color theme="0" tint="-0.249946592608417"/>
      </bottom>
      <diagonal/>
    </border>
    <border>
      <left style="medium">
        <color theme="6" tint="-0.249946592608417"/>
      </left>
      <right/>
      <top style="thin">
        <color theme="0" tint="-0.249946592608417"/>
      </top>
      <bottom style="thin">
        <color theme="0" tint="-0.249946592608417"/>
      </bottom>
      <diagonal/>
    </border>
    <border>
      <left/>
      <right style="medium">
        <color theme="6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/>
      <right style="thick">
        <color theme="6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theme="6" tint="-0.249946592608417"/>
      </left>
      <right/>
      <top/>
      <bottom style="medium">
        <color theme="6" tint="-0.249946592608417"/>
      </bottom>
      <diagonal/>
    </border>
    <border>
      <left/>
      <right/>
      <top/>
      <bottom style="medium">
        <color theme="6" tint="-0.249946592608417"/>
      </bottom>
      <diagonal/>
    </border>
    <border>
      <left/>
      <right style="medium">
        <color theme="6" tint="-0.249946592608417"/>
      </right>
      <top/>
      <bottom style="medium">
        <color theme="6" tint="-0.249946592608417"/>
      </bottom>
      <diagonal/>
    </border>
    <border>
      <left style="thick">
        <color theme="6" tint="-0.249946592608417"/>
      </left>
      <right/>
      <top/>
      <bottom style="medium">
        <color theme="6" tint="-0.249946592608417"/>
      </bottom>
      <diagonal/>
    </border>
    <border>
      <left style="thick">
        <color theme="6" tint="-0.249946592608417"/>
      </left>
      <right/>
      <top style="thin">
        <color theme="0" tint="-0.249946592608417"/>
      </top>
      <bottom style="thin">
        <color theme="0" tint="-0.249946592608417"/>
      </bottom>
      <diagonal/>
    </border>
    <border>
      <left style="medium">
        <color theme="6" tint="-0.249946592608417"/>
      </left>
      <right/>
      <top style="medium">
        <color theme="6" tint="-0.249946592608417"/>
      </top>
      <bottom style="thin">
        <color theme="0" tint="-0.249946592608417"/>
      </bottom>
      <diagonal/>
    </border>
    <border>
      <left/>
      <right style="medium">
        <color theme="6" tint="-0.249946592608417"/>
      </right>
      <top style="medium">
        <color theme="6" tint="-0.249946592608417"/>
      </top>
      <bottom style="thin">
        <color theme="0" tint="-0.249946592608417"/>
      </bottom>
      <diagonal/>
    </border>
    <border>
      <left style="thick">
        <color theme="6" tint="-0.249946592608417"/>
      </left>
      <right/>
      <top style="thick">
        <color theme="6" tint="-0.249946592608417"/>
      </top>
      <bottom style="thin">
        <color theme="0" tint="-0.249946592608417"/>
      </bottom>
      <diagonal/>
    </border>
    <border>
      <left/>
      <right style="thick">
        <color theme="6" tint="-0.249946592608417"/>
      </right>
      <top style="thick">
        <color theme="6" tint="-0.249946592608417"/>
      </top>
      <bottom style="thin">
        <color theme="0" tint="-0.249946592608417"/>
      </bottom>
      <diagonal/>
    </border>
    <border>
      <left/>
      <right style="thick">
        <color theme="6" tint="-0.249946592608417"/>
      </right>
      <top/>
      <bottom style="thick">
        <color theme="6" tint="-0.249946592608417"/>
      </bottom>
      <diagonal/>
    </border>
    <border>
      <left/>
      <right style="thick">
        <color theme="4" tint="-0.249946592608417"/>
      </right>
      <top/>
      <bottom style="thick">
        <color theme="4" tint="-0.249946592608417"/>
      </bottom>
      <diagonal/>
    </border>
    <border>
      <left style="thick">
        <color theme="4" tint="-0.249946592608417"/>
      </left>
      <right/>
      <top style="thick">
        <color theme="4" tint="-0.249946592608417"/>
      </top>
      <bottom style="thin">
        <color theme="0" tint="-0.249946592608417"/>
      </bottom>
      <diagonal/>
    </border>
    <border>
      <left/>
      <right style="thick">
        <color theme="4" tint="-0.249946592608417"/>
      </right>
      <top style="thick">
        <color theme="4" tint="-0.249946592608417"/>
      </top>
      <bottom style="thin">
        <color theme="0" tint="-0.24994659260841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666699"/>
      </left>
      <right style="thin">
        <color theme="0" tint="-0.1499679555650502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1499679555650502"/>
      </left>
      <right style="medium">
        <color rgb="FF666699"/>
      </right>
      <top style="thin">
        <color theme="0" tint="-0.249946592608417"/>
      </top>
      <bottom style="thin">
        <color theme="0" tint="-0.249946592608417"/>
      </bottom>
      <diagonal/>
    </border>
    <border>
      <left style="thick">
        <color rgb="FF7EBA56"/>
      </left>
      <right style="thick">
        <color rgb="FF7EBA56"/>
      </right>
      <top style="thick">
        <color rgb="FF7EBA56"/>
      </top>
      <bottom style="thick">
        <color rgb="FF7EBA56"/>
      </bottom>
      <diagonal/>
    </border>
    <border>
      <left/>
      <right/>
      <top style="thick">
        <color rgb="FF7EBA56"/>
      </top>
      <bottom style="thick">
        <color rgb="FF7EBA56"/>
      </bottom>
      <diagonal/>
    </border>
    <border>
      <left/>
      <right/>
      <top style="thick">
        <color rgb="FF7EBA56"/>
      </top>
      <bottom style="medium">
        <color rgb="FF7EBA56"/>
      </bottom>
      <diagonal/>
    </border>
    <border>
      <left style="thick">
        <color rgb="FFB98A57"/>
      </left>
      <right style="thick">
        <color rgb="FFB98A57"/>
      </right>
      <top style="thick">
        <color rgb="FFB98A57"/>
      </top>
      <bottom style="thick">
        <color rgb="FFB98A57"/>
      </bottom>
      <diagonal/>
    </border>
    <border>
      <left style="thick">
        <color rgb="FF666699"/>
      </left>
      <right style="thick">
        <color rgb="FF666699"/>
      </right>
      <top style="thick">
        <color rgb="FF666699"/>
      </top>
      <bottom style="thick">
        <color rgb="FF666699"/>
      </bottom>
      <diagonal/>
    </border>
    <border>
      <left style="thick">
        <color theme="6" tint="-0.249946592608417"/>
      </left>
      <right style="thick">
        <color theme="6" tint="-0.249946592608417"/>
      </right>
      <top style="thick">
        <color theme="6" tint="-0.249946592608417"/>
      </top>
      <bottom style="thick">
        <color theme="6" tint="-0.249946592608417"/>
      </bottom>
      <diagonal/>
    </border>
    <border>
      <left style="thick">
        <color theme="6" tint="-0.249946592608417"/>
      </left>
      <right style="thin">
        <color theme="0" tint="-0.249946592608417"/>
      </right>
      <top style="thin">
        <color theme="0" tint="-0.249946592608417"/>
      </top>
      <bottom/>
      <diagonal/>
    </border>
    <border>
      <left style="thin">
        <color theme="0" tint="-0.249946592608417"/>
      </left>
      <right style="thick">
        <color theme="6" tint="-0.249946592608417"/>
      </right>
      <top style="thin">
        <color theme="0" tint="-0.249946592608417"/>
      </top>
      <bottom/>
      <diagonal/>
    </border>
    <border>
      <left style="thick">
        <color theme="4" tint="-0.249946592608417"/>
      </left>
      <right style="thick">
        <color theme="4" tint="-0.249946592608417"/>
      </right>
      <top style="thick">
        <color theme="4" tint="-0.249946592608417"/>
      </top>
      <bottom style="thick">
        <color theme="4" tint="-0.249946592608417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ck">
        <color theme="4" tint="-0.249946592608417"/>
      </left>
      <right style="thick">
        <color rgb="FF666699"/>
      </right>
      <top style="thick">
        <color theme="4" tint="-0.249946592608417"/>
      </top>
      <bottom/>
      <diagonal/>
    </border>
    <border>
      <left style="thick">
        <color theme="4" tint="-0.249946592608417"/>
      </left>
      <right style="thick">
        <color rgb="FF666699"/>
      </right>
      <top/>
      <bottom/>
      <diagonal/>
    </border>
    <border>
      <left style="thick">
        <color rgb="FF666699"/>
      </left>
      <right style="medium">
        <color rgb="FF666699"/>
      </right>
      <top/>
      <bottom/>
      <diagonal/>
    </border>
    <border>
      <left style="thick">
        <color rgb="FF666699"/>
      </left>
      <right style="medium">
        <color rgb="FF666699"/>
      </right>
      <top style="thick">
        <color rgb="FF666699"/>
      </top>
      <bottom/>
      <diagonal/>
    </border>
    <border>
      <left style="thick">
        <color rgb="FF666699"/>
      </left>
      <right style="medium">
        <color rgb="FF666699"/>
      </right>
      <top/>
      <bottom style="thick">
        <color rgb="FF666699"/>
      </bottom>
      <diagonal/>
    </border>
    <border>
      <left/>
      <right style="thick">
        <color rgb="FF666699"/>
      </right>
      <top/>
      <bottom style="thick">
        <color rgb="FF666699"/>
      </bottom>
      <diagonal/>
    </border>
    <border>
      <left style="medium">
        <color rgb="FF666699"/>
      </left>
      <right style="thin">
        <color theme="0" tint="-0.249946592608417"/>
      </right>
      <top style="thin">
        <color theme="0" tint="-0.249946592608417"/>
      </top>
      <bottom style="thick">
        <color rgb="FF666699"/>
      </bottom>
      <diagonal/>
    </border>
    <border>
      <left style="thin">
        <color theme="0" tint="-0.249946592608417"/>
      </left>
      <right style="medium">
        <color rgb="FF666699"/>
      </right>
      <top style="thin">
        <color theme="0" tint="-0.249946592608417"/>
      </top>
      <bottom style="thick">
        <color rgb="FF666699"/>
      </bottom>
      <diagonal/>
    </border>
    <border>
      <left style="thick">
        <color rgb="FF666699"/>
      </left>
      <right style="medium">
        <color rgb="FF666699"/>
      </right>
      <top style="thick">
        <color rgb="FF666699"/>
      </top>
      <bottom style="thick">
        <color rgb="FF666699"/>
      </bottom>
      <diagonal/>
    </border>
    <border>
      <left style="thick">
        <color rgb="FFB98A57"/>
      </left>
      <right style="thick">
        <color rgb="FFB98A57"/>
      </right>
      <top/>
      <bottom/>
      <diagonal/>
    </border>
    <border>
      <left/>
      <right/>
      <top style="thick">
        <color rgb="FFB98A57"/>
      </top>
      <bottom style="thick">
        <color rgb="FFB98A57"/>
      </bottom>
      <diagonal/>
    </border>
    <border>
      <left style="thick">
        <color rgb="FF7EBA56"/>
      </left>
      <right style="thick">
        <color rgb="FF7EBA56"/>
      </right>
      <top/>
      <bottom style="thick">
        <color rgb="FF7EBA56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 style="thick">
        <color rgb="FF666699"/>
      </left>
      <right style="thick">
        <color rgb="FF666699"/>
      </right>
      <top style="thick">
        <color rgb="FF666699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/>
      <diagonal/>
    </border>
    <border>
      <left style="thick">
        <color theme="1" tint="0.499984740745262"/>
      </left>
      <right style="thick">
        <color theme="1" tint="0.499984740745262"/>
      </right>
      <top/>
      <bottom style="thick">
        <color theme="1" tint="0.499984740745262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rgb="FF7EBA56"/>
      </left>
      <right style="medium">
        <color rgb="FF7EBA56"/>
      </right>
      <top style="medium">
        <color rgb="FF7EBA56"/>
      </top>
      <bottom style="thin">
        <color theme="0" tint="-0.249946592608417"/>
      </bottom>
      <diagonal/>
    </border>
    <border>
      <left style="medium">
        <color rgb="FF7EBA56"/>
      </left>
      <right style="medium">
        <color rgb="FF7EBA56"/>
      </right>
      <top style="thin">
        <color theme="0" tint="-0.249946592608417"/>
      </top>
      <bottom style="thin">
        <color theme="0" tint="-0.249946592608417"/>
      </bottom>
      <diagonal/>
    </border>
    <border>
      <left/>
      <right/>
      <top style="thin">
        <color theme="0" tint="-0.249946592608417"/>
      </top>
      <bottom/>
      <diagonal/>
    </border>
    <border>
      <left/>
      <right style="medium">
        <color rgb="FF7EBA56"/>
      </right>
      <top style="thin">
        <color theme="0" tint="-0.249946592608417"/>
      </top>
      <bottom/>
      <diagonal/>
    </border>
    <border>
      <left style="thick">
        <color rgb="FF7EBA56"/>
      </left>
      <right style="thick">
        <color rgb="FF7EBA56"/>
      </right>
      <top style="thick">
        <color rgb="FF7EBA56"/>
      </top>
      <bottom style="thin">
        <color theme="0" tint="-0.249946592608417"/>
      </bottom>
      <diagonal/>
    </border>
    <border>
      <left style="thick">
        <color rgb="FF7EBA56"/>
      </left>
      <right style="thick">
        <color rgb="FF7EBA56"/>
      </right>
      <top style="thin">
        <color theme="0" tint="-0.249946592608417"/>
      </top>
      <bottom style="thin">
        <color theme="0" tint="-0.249946592608417"/>
      </bottom>
      <diagonal/>
    </border>
    <border>
      <left/>
      <right style="thick">
        <color rgb="FF7EBA56"/>
      </right>
      <top style="thin">
        <color theme="0" tint="-0.249946592608417"/>
      </top>
      <bottom/>
      <diagonal/>
    </border>
    <border>
      <left style="medium">
        <color rgb="FF666699"/>
      </left>
      <right style="medium">
        <color rgb="FF666699"/>
      </right>
      <top style="thin">
        <color theme="0" tint="-0.249946592608417"/>
      </top>
      <bottom style="thin">
        <color theme="0" tint="-0.249946592608417"/>
      </bottom>
      <diagonal/>
    </border>
    <border>
      <left/>
      <right style="medium">
        <color rgb="FF666699"/>
      </right>
      <top style="thin">
        <color theme="0" tint="-0.249946592608417"/>
      </top>
      <bottom/>
      <diagonal/>
    </border>
    <border>
      <left style="medium">
        <color rgb="FF666699"/>
      </left>
      <right style="medium">
        <color rgb="FF666699"/>
      </right>
      <top style="medium">
        <color rgb="FF666699"/>
      </top>
      <bottom style="thin">
        <color theme="0" tint="-0.249946592608417"/>
      </bottom>
      <diagonal/>
    </border>
    <border>
      <left/>
      <right/>
      <top style="medium">
        <color rgb="FF666699"/>
      </top>
      <bottom/>
      <diagonal/>
    </border>
    <border>
      <left/>
      <right style="medium">
        <color rgb="FF666699"/>
      </right>
      <top style="medium">
        <color rgb="FF666699"/>
      </top>
      <bottom/>
      <diagonal/>
    </border>
    <border>
      <left style="thick">
        <color theme="4" tint="-0.249946592608417"/>
      </left>
      <right style="thick">
        <color theme="4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/>
      <right style="thick">
        <color theme="4" tint="-0.249946592608417"/>
      </right>
      <top style="thin">
        <color theme="0" tint="-0.249946592608417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B98A57"/>
      </left>
      <right style="medium">
        <color rgb="FFB98A57"/>
      </right>
      <top style="medium">
        <color rgb="FFB98A57"/>
      </top>
      <bottom style="thin">
        <color theme="0" tint="-0.249946592608417"/>
      </bottom>
      <diagonal/>
    </border>
    <border>
      <left/>
      <right style="medium">
        <color rgb="FFB98A57"/>
      </right>
      <top style="medium">
        <color rgb="FFB98A57"/>
      </top>
      <bottom/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  <border>
      <left style="thick">
        <color theme="1" tint="0.499984740745262"/>
      </left>
      <right/>
      <top/>
      <bottom/>
      <diagonal/>
    </border>
    <border>
      <left style="thick">
        <color theme="1" tint="0.499984740745262"/>
      </left>
      <right style="thick">
        <color theme="1" tint="0.499984740745262"/>
      </right>
      <top/>
      <bottom/>
      <diagonal/>
    </border>
    <border>
      <left/>
      <right style="thick">
        <color rgb="FF7EBA56"/>
      </right>
      <top/>
      <bottom/>
      <diagonal/>
    </border>
    <border>
      <left style="thick">
        <color theme="4" tint="-0.249946592608417"/>
      </left>
      <right style="thick">
        <color theme="4" tint="-0.249946592608417"/>
      </right>
      <top style="thick">
        <color theme="4" tint="-0.249946592608417"/>
      </top>
      <bottom style="thin">
        <color theme="0" tint="-0.249946592608417"/>
      </bottom>
      <diagonal/>
    </border>
    <border>
      <left/>
      <right style="thick">
        <color theme="4" tint="-0.249946592608417"/>
      </right>
      <top style="thick">
        <color theme="4" tint="-0.249946592608417"/>
      </top>
      <bottom/>
      <diagonal/>
    </border>
    <border>
      <left style="thick">
        <color rgb="FF666699"/>
      </left>
      <right style="thick">
        <color rgb="FF666699"/>
      </right>
      <top style="thick">
        <color rgb="FF666699"/>
      </top>
      <bottom style="thin">
        <color theme="0" tint="-0.249946592608417"/>
      </bottom>
      <diagonal/>
    </border>
    <border>
      <left/>
      <right style="thick">
        <color rgb="FF666699"/>
      </right>
      <top style="thick">
        <color rgb="FF666699"/>
      </top>
      <bottom/>
      <diagonal/>
    </border>
    <border>
      <left style="thick">
        <color rgb="FFB98A57"/>
      </left>
      <right style="thick">
        <color rgb="FFB98A57"/>
      </right>
      <top style="thin">
        <color theme="0" tint="-0.249946592608417"/>
      </top>
      <bottom style="thin">
        <color theme="0" tint="-0.249946592608417"/>
      </bottom>
      <diagonal/>
    </border>
    <border>
      <left/>
      <right style="thick">
        <color rgb="FFB98A57"/>
      </right>
      <top style="thin">
        <color theme="0" tint="-0.249946592608417"/>
      </top>
      <bottom/>
      <diagonal/>
    </border>
    <border>
      <left style="thick">
        <color rgb="FFB98A57"/>
      </left>
      <right style="thick">
        <color rgb="FFB98A57"/>
      </right>
      <top style="thick">
        <color rgb="FFB98A57"/>
      </top>
      <bottom style="thin">
        <color theme="0" tint="-0.249946592608417"/>
      </bottom>
      <diagonal/>
    </border>
    <border>
      <left style="thick">
        <color rgb="FF666699"/>
      </left>
      <right style="thick">
        <color rgb="FF666699"/>
      </right>
      <top style="thin">
        <color theme="0" tint="-0.249946592608417"/>
      </top>
      <bottom style="thin">
        <color theme="0" tint="-0.249946592608417"/>
      </bottom>
      <diagonal/>
    </border>
    <border>
      <left/>
      <right style="thick">
        <color rgb="FF666699"/>
      </right>
      <top style="thin">
        <color theme="0" tint="-0.249946592608417"/>
      </top>
      <bottom/>
      <diagonal/>
    </border>
    <border>
      <left style="thick">
        <color rgb="FF666699"/>
      </left>
      <right style="thick">
        <color rgb="FF666699"/>
      </right>
      <top/>
      <bottom style="thick">
        <color rgb="FF666699"/>
      </bottom>
      <diagonal/>
    </border>
    <border>
      <left/>
      <right style="thick">
        <color rgb="FF666699"/>
      </right>
      <top/>
      <bottom/>
      <diagonal/>
    </border>
    <border>
      <left/>
      <right/>
      <top style="thick">
        <color rgb="FFB98A57"/>
      </top>
      <bottom style="thick">
        <color rgb="FF666699"/>
      </bottom>
      <diagonal/>
    </border>
    <border>
      <left/>
      <right/>
      <top style="thick">
        <color theme="6" tint="-0.249946592608417"/>
      </top>
      <bottom style="thick">
        <color theme="6" tint="-0.249946592608417"/>
      </bottom>
      <diagonal/>
    </border>
    <border>
      <left style="thick">
        <color rgb="FF7EBA56"/>
      </left>
      <right style="thick">
        <color rgb="FF7EBA56"/>
      </right>
      <top/>
      <bottom/>
      <diagonal/>
    </border>
    <border>
      <left style="thick">
        <color theme="6" tint="-0.249946592608417"/>
      </left>
      <right style="thick">
        <color theme="6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/>
      <right style="thick">
        <color theme="6" tint="-0.249946592608417"/>
      </right>
      <top style="thin">
        <color theme="0" tint="-0.249946592608417"/>
      </top>
      <bottom/>
      <diagonal/>
    </border>
    <border>
      <left style="thick">
        <color theme="6" tint="-0.249946592608417"/>
      </left>
      <right style="thick">
        <color theme="6" tint="-0.249946592608417"/>
      </right>
      <top style="thick">
        <color theme="6" tint="-0.249946592608417"/>
      </top>
      <bottom style="thin">
        <color theme="0" tint="-0.249946592608417"/>
      </bottom>
      <diagonal/>
    </border>
    <border>
      <left/>
      <right style="thick">
        <color theme="6" tint="-0.249946592608417"/>
      </right>
      <top style="thick">
        <color theme="6" tint="-0.249946592608417"/>
      </top>
      <bottom/>
      <diagonal/>
    </border>
    <border>
      <left style="thick">
        <color theme="6" tint="-0.249946592608417"/>
      </left>
      <right style="thick">
        <color theme="6" tint="-0.249946592608417"/>
      </right>
      <top/>
      <bottom style="thick">
        <color theme="6" tint="-0.249946592608417"/>
      </bottom>
      <diagonal/>
    </border>
    <border>
      <left/>
      <right style="thick">
        <color theme="6" tint="-0.249946592608417"/>
      </right>
      <top/>
      <bottom/>
      <diagonal/>
    </border>
    <border>
      <left style="thick">
        <color rgb="FF7EBA56"/>
      </left>
      <right style="medium">
        <color rgb="FF7EBA56"/>
      </right>
      <top/>
      <bottom style="medium">
        <color rgb="FF7EBA56"/>
      </bottom>
      <diagonal/>
    </border>
    <border>
      <left/>
      <right style="medium">
        <color rgb="FF7EBA56"/>
      </right>
      <top/>
      <bottom/>
      <diagonal/>
    </border>
    <border>
      <left/>
      <right/>
      <top style="thick">
        <color theme="0" tint="-0.499984740745262"/>
      </top>
      <bottom style="thick">
        <color rgb="FFB98A57"/>
      </bottom>
      <diagonal/>
    </border>
    <border>
      <left style="medium">
        <color rgb="FF666699"/>
      </left>
      <right style="medium">
        <color rgb="FF666699"/>
      </right>
      <top/>
      <bottom style="medium">
        <color rgb="FF666699"/>
      </bottom>
      <diagonal/>
    </border>
    <border>
      <left/>
      <right style="thin">
        <color theme="0" tint="-0.249946592608417"/>
      </right>
      <top style="medium">
        <color rgb="FF7EBA56"/>
      </top>
      <bottom/>
      <diagonal/>
    </border>
    <border>
      <left/>
      <right style="thin">
        <color theme="0" tint="-0.249946592608417"/>
      </right>
      <top style="medium">
        <color rgb="FF7EBA56"/>
      </top>
      <bottom style="thin">
        <color theme="0" tint="-0.249946592608417"/>
      </bottom>
      <diagonal/>
    </border>
    <border>
      <left style="medium">
        <color rgb="FFB98A57"/>
      </left>
      <right style="medium">
        <color rgb="FFB98A57"/>
      </right>
      <top style="thin">
        <color theme="0" tint="-0.249946592608417"/>
      </top>
      <bottom style="thin">
        <color theme="0" tint="-0.249946592608417"/>
      </bottom>
      <diagonal/>
    </border>
    <border>
      <left/>
      <right style="medium">
        <color rgb="FFB98A57"/>
      </right>
      <top style="thin">
        <color theme="0" tint="-0.249946592608417"/>
      </top>
      <bottom/>
      <diagonal/>
    </border>
    <border>
      <left style="thick">
        <color rgb="FFB98A57"/>
      </left>
      <right style="medium">
        <color rgb="FFB98A57"/>
      </right>
      <top/>
      <bottom style="medium">
        <color rgb="FFB98A57"/>
      </bottom>
      <diagonal/>
    </border>
    <border>
      <left/>
      <right style="medium">
        <color rgb="FFB98A57"/>
      </right>
      <top/>
      <bottom/>
      <diagonal/>
    </border>
    <border>
      <left style="medium">
        <color rgb="FFB98A57"/>
      </left>
      <right style="medium">
        <color rgb="FFB98A57"/>
      </right>
      <top/>
      <bottom style="medium">
        <color rgb="FFB98A57"/>
      </bottom>
      <diagonal/>
    </border>
    <border>
      <left style="medium">
        <color theme="6" tint="-0.249946592608417"/>
      </left>
      <right style="medium">
        <color theme="6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/>
      <right style="medium">
        <color theme="6" tint="-0.249946592608417"/>
      </right>
      <top style="thin">
        <color theme="0" tint="-0.249946592608417"/>
      </top>
      <bottom/>
      <diagonal/>
    </border>
    <border>
      <left style="medium">
        <color theme="6" tint="-0.249946592608417"/>
      </left>
      <right style="medium">
        <color theme="6" tint="-0.249946592608417"/>
      </right>
      <top/>
      <bottom style="medium">
        <color theme="6" tint="-0.249946592608417"/>
      </bottom>
      <diagonal/>
    </border>
    <border>
      <left/>
      <right style="medium">
        <color theme="6" tint="-0.249946592608417"/>
      </right>
      <top/>
      <bottom/>
      <diagonal/>
    </border>
    <border>
      <left style="medium">
        <color theme="6" tint="-0.249946592608417"/>
      </left>
      <right style="medium">
        <color theme="6" tint="-0.249946592608417"/>
      </right>
      <top style="medium">
        <color theme="6" tint="-0.249946592608417"/>
      </top>
      <bottom style="thin">
        <color theme="0" tint="-0.249946592608417"/>
      </bottom>
      <diagonal/>
    </border>
    <border>
      <left/>
      <right style="medium">
        <color theme="6" tint="-0.249946592608417"/>
      </right>
      <top style="medium">
        <color theme="6" tint="-0.249946592608417"/>
      </top>
      <bottom/>
      <diagonal/>
    </border>
    <border>
      <left style="thick">
        <color theme="6" tint="-0.249946592608417"/>
      </left>
      <right style="medium">
        <color theme="6" tint="-0.249946592608417"/>
      </right>
      <top/>
      <bottom style="medium">
        <color theme="6" tint="-0.249946592608417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5">
    <xf numFmtId="0" fontId="6" fillId="0" borderId="0"/>
    <xf numFmtId="9" fontId="6" fillId="0" borderId="0"/>
    <xf numFmtId="43" fontId="6" fillId="0" borderId="0"/>
    <xf numFmtId="43" fontId="6" fillId="0" borderId="0"/>
    <xf numFmtId="0" fontId="41" fillId="0" borderId="0"/>
  </cellStyleXfs>
  <cellXfs count="845">
    <xf numFmtId="0" fontId="0" fillId="0" borderId="0" pivotButton="0" quotePrefix="0" xfId="0"/>
    <xf numFmtId="0" fontId="0" fillId="0" borderId="0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3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0" fontId="5" fillId="0" borderId="11" applyAlignment="1" pivotButton="0" quotePrefix="0" xfId="0">
      <alignment vertical="center"/>
    </xf>
    <xf numFmtId="0" fontId="5" fillId="0" borderId="15" applyAlignment="1" pivotButton="0" quotePrefix="0" xfId="0">
      <alignment vertical="center"/>
    </xf>
    <xf numFmtId="0" fontId="5" fillId="0" borderId="16" applyAlignment="1" pivotButton="0" quotePrefix="0" xfId="0">
      <alignment vertical="center"/>
    </xf>
    <xf numFmtId="0" fontId="5" fillId="0" borderId="18" applyAlignment="1" pivotButton="0" quotePrefix="0" xfId="0">
      <alignment vertical="center"/>
    </xf>
    <xf numFmtId="0" fontId="5" fillId="0" borderId="19" applyAlignment="1" pivotButton="0" quotePrefix="0" xfId="0">
      <alignment vertical="center"/>
    </xf>
    <xf numFmtId="0" fontId="5" fillId="0" borderId="20" applyAlignment="1" pivotButton="0" quotePrefix="0" xfId="0">
      <alignment vertical="center"/>
    </xf>
    <xf numFmtId="0" fontId="5" fillId="0" borderId="12" applyAlignment="1" pivotButton="0" quotePrefix="0" xfId="0">
      <alignment vertical="center"/>
    </xf>
    <xf numFmtId="0" fontId="5" fillId="0" borderId="29" applyAlignment="1" pivotButton="0" quotePrefix="0" xfId="0">
      <alignment vertical="center"/>
    </xf>
    <xf numFmtId="0" fontId="0" fillId="0" borderId="30" pivotButton="0" quotePrefix="0" xfId="0"/>
    <xf numFmtId="0" fontId="0" fillId="0" borderId="31" pivotButton="0" quotePrefix="0" xfId="0"/>
    <xf numFmtId="0" fontId="0" fillId="0" borderId="32" pivotButton="0" quotePrefix="0" xfId="0"/>
    <xf numFmtId="0" fontId="0" fillId="0" borderId="34" pivotButton="0" quotePrefix="0" xfId="0"/>
    <xf numFmtId="0" fontId="0" fillId="0" borderId="36" pivotButton="0" quotePrefix="0" xfId="0"/>
    <xf numFmtId="0" fontId="0" fillId="0" borderId="29" pivotButton="0" quotePrefix="0" xfId="0"/>
    <xf numFmtId="0" fontId="0" fillId="0" borderId="40" pivotButton="0" quotePrefix="0" xfId="0"/>
    <xf numFmtId="0" fontId="0" fillId="0" borderId="50" pivotButton="0" quotePrefix="0" xfId="0"/>
    <xf numFmtId="0" fontId="0" fillId="0" borderId="51" pivotButton="0" quotePrefix="0" xfId="0"/>
    <xf numFmtId="0" fontId="0" fillId="0" borderId="52" pivotButton="0" quotePrefix="0" xfId="0"/>
    <xf numFmtId="0" fontId="0" fillId="0" borderId="53" pivotButton="0" quotePrefix="0" xfId="0"/>
    <xf numFmtId="0" fontId="0" fillId="0" borderId="55" pivotButton="0" quotePrefix="0" xfId="0"/>
    <xf numFmtId="0" fontId="0" fillId="0" borderId="56" pivotButton="0" quotePrefix="0" xfId="0"/>
    <xf numFmtId="0" fontId="0" fillId="0" borderId="65" pivotButton="0" quotePrefix="0" xfId="0"/>
    <xf numFmtId="0" fontId="0" fillId="0" borderId="66" pivotButton="0" quotePrefix="0" xfId="0"/>
    <xf numFmtId="0" fontId="1" fillId="0" borderId="73" applyAlignment="1" pivotButton="0" quotePrefix="0" xfId="0">
      <alignment horizontal="center" vertical="center" wrapText="1"/>
    </xf>
    <xf numFmtId="0" fontId="1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vertical="center" wrapText="1"/>
    </xf>
    <xf numFmtId="0" fontId="0" fillId="0" borderId="17" pivotButton="0" quotePrefix="0" xfId="0"/>
    <xf numFmtId="0" fontId="5" fillId="0" borderId="76" applyAlignment="1" pivotButton="0" quotePrefix="0" xfId="0">
      <alignment vertical="center"/>
    </xf>
    <xf numFmtId="0" fontId="0" fillId="0" borderId="77" pivotButton="0" quotePrefix="0" xfId="0"/>
    <xf numFmtId="0" fontId="4" fillId="0" borderId="0" applyAlignment="1" pivotButton="0" quotePrefix="0" xfId="0">
      <alignment vertical="center" wrapText="1"/>
    </xf>
    <xf numFmtId="0" fontId="0" fillId="0" borderId="93" pivotButton="0" quotePrefix="0" xfId="0"/>
    <xf numFmtId="0" fontId="0" fillId="0" borderId="0" applyAlignment="1" pivotButton="0" quotePrefix="0" xfId="0">
      <alignment horizontal="center" vertical="center"/>
    </xf>
    <xf numFmtId="0" fontId="0" fillId="0" borderId="53" applyAlignment="1" pivotButton="0" quotePrefix="0" xfId="0">
      <alignment horizontal="center" vertical="center"/>
    </xf>
    <xf numFmtId="0" fontId="0" fillId="0" borderId="55" applyAlignment="1" pivotButton="0" quotePrefix="0" xfId="0">
      <alignment horizontal="center" vertical="center"/>
    </xf>
    <xf numFmtId="0" fontId="0" fillId="0" borderId="56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103" pivotButton="0" quotePrefix="0" xfId="0"/>
    <xf numFmtId="0" fontId="0" fillId="0" borderId="103" applyAlignment="1" pivotButton="0" quotePrefix="0" xfId="0">
      <alignment horizontal="center" vertical="center" wrapText="1"/>
    </xf>
    <xf numFmtId="3" fontId="1" fillId="0" borderId="0" applyAlignment="1" pivotButton="0" quotePrefix="0" xfId="0">
      <alignment horizontal="center" vertical="center" wrapText="1"/>
    </xf>
    <xf numFmtId="0" fontId="8" fillId="0" borderId="0" applyAlignment="1" pivotButton="0" quotePrefix="0" xfId="0">
      <alignment horizontal="left" vertical="top" wrapText="1"/>
    </xf>
    <xf numFmtId="0" fontId="12" fillId="0" borderId="0" applyAlignment="1" pivotButton="0" quotePrefix="0" xfId="0">
      <alignment vertical="top" wrapText="1"/>
    </xf>
    <xf numFmtId="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 vertical="center" wrapText="1"/>
    </xf>
    <xf numFmtId="0" fontId="13" fillId="0" borderId="108" applyAlignment="1" pivotButton="0" quotePrefix="0" xfId="0">
      <alignment horizontal="center" vertical="center" wrapText="1"/>
    </xf>
    <xf numFmtId="0" fontId="14" fillId="0" borderId="11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/>
    </xf>
    <xf numFmtId="0" fontId="14" fillId="0" borderId="108" applyAlignment="1" pivotButton="0" quotePrefix="0" xfId="0">
      <alignment horizontal="center" vertical="center" wrapText="1"/>
    </xf>
    <xf numFmtId="0" fontId="9" fillId="6" borderId="110" applyAlignment="1" pivotButton="0" quotePrefix="0" xfId="0">
      <alignment horizontal="center" vertical="center" wrapText="1"/>
    </xf>
    <xf numFmtId="0" fontId="9" fillId="0" borderId="0" applyAlignment="1" pivotButton="0" quotePrefix="0" xfId="0">
      <alignment vertical="center"/>
    </xf>
    <xf numFmtId="0" fontId="17" fillId="0" borderId="108" applyAlignment="1" pivotButton="0" quotePrefix="0" xfId="0">
      <alignment horizontal="center" vertical="center" wrapText="1"/>
    </xf>
    <xf numFmtId="0" fontId="16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3" fontId="18" fillId="0" borderId="3" applyAlignment="1" pivotButton="0" quotePrefix="0" xfId="0">
      <alignment horizontal="center" vertical="center" wrapText="1"/>
    </xf>
    <xf numFmtId="3" fontId="18" fillId="0" borderId="4" applyAlignment="1" pivotButton="0" quotePrefix="0" xfId="0">
      <alignment horizontal="center" vertical="center" wrapText="1"/>
    </xf>
    <xf numFmtId="3" fontId="18" fillId="0" borderId="23" applyAlignment="1" pivotButton="0" quotePrefix="0" xfId="0">
      <alignment horizontal="center" vertical="center" wrapText="1"/>
    </xf>
    <xf numFmtId="3" fontId="18" fillId="0" borderId="24" applyAlignment="1" pivotButton="0" quotePrefix="0" xfId="0">
      <alignment horizontal="center" vertical="center" wrapText="1"/>
    </xf>
    <xf numFmtId="3" fontId="18" fillId="0" borderId="27" applyAlignment="1" pivotButton="0" quotePrefix="0" xfId="0">
      <alignment horizontal="center" vertical="center" wrapText="1"/>
    </xf>
    <xf numFmtId="3" fontId="18" fillId="0" borderId="28" applyAlignment="1" pivotButton="0" quotePrefix="0" xfId="0">
      <alignment horizontal="center" vertical="center" wrapText="1"/>
    </xf>
    <xf numFmtId="164" fontId="18" fillId="0" borderId="27" applyAlignment="1" pivotButton="0" quotePrefix="0" xfId="0">
      <alignment horizontal="center" vertical="center" wrapText="1"/>
    </xf>
    <xf numFmtId="164" fontId="18" fillId="0" borderId="28" applyAlignment="1" pivotButton="0" quotePrefix="0" xfId="0">
      <alignment horizontal="center" vertical="center" wrapText="1"/>
    </xf>
    <xf numFmtId="3" fontId="18" fillId="0" borderId="48" applyAlignment="1" pivotButton="0" quotePrefix="0" xfId="0">
      <alignment horizontal="center" vertical="center" wrapText="1"/>
    </xf>
    <xf numFmtId="3" fontId="18" fillId="0" borderId="49" applyAlignment="1" pivotButton="0" quotePrefix="0" xfId="0">
      <alignment horizontal="center" vertical="center" wrapText="1"/>
    </xf>
    <xf numFmtId="3" fontId="18" fillId="0" borderId="59" applyAlignment="1" pivotButton="0" quotePrefix="0" xfId="0">
      <alignment horizontal="center" vertical="center" wrapText="1"/>
    </xf>
    <xf numFmtId="3" fontId="18" fillId="0" borderId="60" applyAlignment="1" pivotButton="0" quotePrefix="0" xfId="0">
      <alignment horizontal="center" vertical="center" wrapText="1"/>
    </xf>
    <xf numFmtId="3" fontId="18" fillId="0" borderId="44" applyAlignment="1" pivotButton="0" quotePrefix="0" xfId="0">
      <alignment horizontal="center" vertical="center" wrapText="1"/>
    </xf>
    <xf numFmtId="3" fontId="18" fillId="0" borderId="45" applyAlignment="1" pivotButton="0" quotePrefix="0" xfId="0">
      <alignment horizontal="center" vertical="center" wrapText="1"/>
    </xf>
    <xf numFmtId="3" fontId="18" fillId="0" borderId="63" applyAlignment="1" pivotButton="0" quotePrefix="0" xfId="0">
      <alignment horizontal="center" vertical="center" wrapText="1"/>
    </xf>
    <xf numFmtId="3" fontId="18" fillId="0" borderId="64" applyAlignment="1" pivotButton="0" quotePrefix="0" xfId="0">
      <alignment horizontal="center" vertical="center" wrapText="1"/>
    </xf>
    <xf numFmtId="3" fontId="18" fillId="0" borderId="9" applyAlignment="1" pivotButton="0" quotePrefix="0" xfId="0">
      <alignment horizontal="center" vertical="center" wrapText="1"/>
    </xf>
    <xf numFmtId="3" fontId="18" fillId="0" borderId="10" applyAlignment="1" pivotButton="0" quotePrefix="0" xfId="0">
      <alignment horizontal="center" vertical="center" wrapText="1"/>
    </xf>
    <xf numFmtId="3" fontId="18" fillId="0" borderId="119" applyAlignment="1" pivotButton="0" quotePrefix="0" xfId="0">
      <alignment horizontal="center" vertical="center" wrapText="1"/>
    </xf>
    <xf numFmtId="3" fontId="18" fillId="0" borderId="72" applyAlignment="1" pivotButton="0" quotePrefix="0" xfId="0">
      <alignment horizontal="center" vertical="center" wrapText="1"/>
    </xf>
    <xf numFmtId="0" fontId="1" fillId="0" borderId="7" applyAlignment="1" pivotButton="0" quotePrefix="0" xfId="0">
      <alignment horizontal="center" vertical="center" wrapText="1"/>
    </xf>
    <xf numFmtId="0" fontId="1" fillId="0" borderId="8" applyAlignment="1" pivotButton="0" quotePrefix="0" xfId="0">
      <alignment horizontal="center" vertical="center" wrapText="1"/>
    </xf>
    <xf numFmtId="0" fontId="1" fillId="0" borderId="57" applyAlignment="1" pivotButton="0" quotePrefix="0" xfId="0">
      <alignment horizontal="center" vertical="center" wrapText="1"/>
    </xf>
    <xf numFmtId="0" fontId="1" fillId="0" borderId="58" applyAlignment="1" pivotButton="0" quotePrefix="0" xfId="0">
      <alignment horizontal="center" vertical="center" wrapText="1"/>
    </xf>
    <xf numFmtId="0" fontId="1" fillId="0" borderId="46" applyAlignment="1" pivotButton="0" quotePrefix="0" xfId="0">
      <alignment horizontal="center" vertical="center" wrapText="1"/>
    </xf>
    <xf numFmtId="0" fontId="1" fillId="0" borderId="47" applyAlignment="1" pivotButton="0" quotePrefix="0" xfId="0">
      <alignment horizontal="center" vertical="center" wrapText="1"/>
    </xf>
    <xf numFmtId="0" fontId="1" fillId="0" borderId="42" applyAlignment="1" pivotButton="0" quotePrefix="0" xfId="0">
      <alignment horizontal="center" vertical="center" wrapText="1"/>
    </xf>
    <xf numFmtId="0" fontId="1" fillId="0" borderId="43" applyAlignment="1" pivotButton="0" quotePrefix="0" xfId="0">
      <alignment horizontal="center" vertical="center" wrapText="1"/>
    </xf>
    <xf numFmtId="0" fontId="1" fillId="0" borderId="145" applyAlignment="1" pivotButton="0" quotePrefix="0" xfId="0">
      <alignment horizontal="center" vertical="center" wrapText="1"/>
    </xf>
    <xf numFmtId="0" fontId="1" fillId="0" borderId="146" applyAlignment="1" pivotButton="0" quotePrefix="0" xfId="0">
      <alignment horizontal="center" vertical="center" wrapText="1"/>
    </xf>
    <xf numFmtId="0" fontId="0" fillId="0" borderId="98" applyAlignment="1" pivotButton="0" quotePrefix="0" xfId="0">
      <alignment horizontal="center" vertical="center"/>
    </xf>
    <xf numFmtId="0" fontId="0" fillId="0" borderId="104" pivotButton="0" quotePrefix="0" xfId="0"/>
    <xf numFmtId="0" fontId="0" fillId="0" borderId="104" applyAlignment="1" pivotButton="0" quotePrefix="0" xfId="0">
      <alignment horizontal="center" vertical="center" wrapText="1"/>
    </xf>
    <xf numFmtId="0" fontId="1" fillId="0" borderId="1" applyAlignment="1" pivotButton="0" quotePrefix="0" xfId="0">
      <alignment horizontal="center" vertical="center" wrapText="1"/>
    </xf>
    <xf numFmtId="0" fontId="1" fillId="0" borderId="2" applyAlignment="1" pivotButton="0" quotePrefix="0" xfId="0">
      <alignment horizontal="center" vertical="center" wrapText="1"/>
    </xf>
    <xf numFmtId="164" fontId="19" fillId="0" borderId="0" applyAlignment="1" pivotButton="0" quotePrefix="0" xfId="0">
      <alignment horizontal="center" vertical="center" wrapText="1"/>
    </xf>
    <xf numFmtId="3" fontId="18" fillId="0" borderId="0" applyAlignment="1" pivotButton="0" quotePrefix="0" xfId="0">
      <alignment horizontal="center" vertical="center" wrapText="1"/>
    </xf>
    <xf numFmtId="0" fontId="10" fillId="0" borderId="0" pivotButton="0" quotePrefix="0" xfId="0"/>
    <xf numFmtId="0" fontId="0" fillId="7" borderId="0" applyAlignment="1" pivotButton="0" quotePrefix="0" xfId="0">
      <alignment horizontal="left" vertical="center"/>
    </xf>
    <xf numFmtId="0" fontId="0" fillId="0" borderId="51" applyAlignment="1" pivotButton="0" quotePrefix="0" xfId="0">
      <alignment horizontal="center" vertical="center"/>
    </xf>
    <xf numFmtId="0" fontId="2" fillId="2" borderId="147" applyAlignment="1" pivotButton="0" quotePrefix="0" xfId="0">
      <alignment horizontal="center" vertical="center" wrapText="1"/>
    </xf>
    <xf numFmtId="3" fontId="22" fillId="0" borderId="147" applyAlignment="1" pivotButton="0" quotePrefix="0" xfId="0">
      <alignment horizontal="center" vertical="center" wrapText="1"/>
    </xf>
    <xf numFmtId="164" fontId="18" fillId="0" borderId="0" applyAlignment="1" pivotButton="0" quotePrefix="0" xfId="0">
      <alignment horizontal="center" vertical="center" wrapText="1"/>
    </xf>
    <xf numFmtId="164" fontId="22" fillId="0" borderId="147" applyAlignment="1" pivotButton="0" quotePrefix="0" xfId="0">
      <alignment horizontal="center" vertical="center" wrapText="1"/>
    </xf>
    <xf numFmtId="0" fontId="2" fillId="3" borderId="150" applyAlignment="1" pivotButton="0" quotePrefix="0" xfId="0">
      <alignment horizontal="center" vertical="center" wrapText="1"/>
    </xf>
    <xf numFmtId="3" fontId="22" fillId="0" borderId="150" applyAlignment="1" pivotButton="0" quotePrefix="0" xfId="0">
      <alignment horizontal="center" vertical="center" wrapText="1"/>
    </xf>
    <xf numFmtId="3" fontId="22" fillId="0" borderId="151" applyAlignment="1" pivotButton="0" quotePrefix="0" xfId="0">
      <alignment horizontal="center" vertical="center" wrapText="1"/>
    </xf>
    <xf numFmtId="0" fontId="2" fillId="4" borderId="151" applyAlignment="1" pivotButton="0" quotePrefix="0" xfId="0">
      <alignment horizontal="center" vertical="center" wrapText="1"/>
    </xf>
    <xf numFmtId="3" fontId="18" fillId="0" borderId="153" applyAlignment="1" pivotButton="0" quotePrefix="0" xfId="0">
      <alignment horizontal="center" vertical="center" wrapText="1"/>
    </xf>
    <xf numFmtId="3" fontId="18" fillId="0" borderId="154" applyAlignment="1" pivotButton="0" quotePrefix="0" xfId="0">
      <alignment horizontal="center" vertical="center" wrapText="1"/>
    </xf>
    <xf numFmtId="0" fontId="2" fillId="5" borderId="152" applyAlignment="1" pivotButton="0" quotePrefix="0" xfId="0">
      <alignment horizontal="center" vertical="center" wrapText="1"/>
    </xf>
    <xf numFmtId="3" fontId="22" fillId="0" borderId="152" applyAlignment="1" pivotButton="0" quotePrefix="0" xfId="0">
      <alignment horizontal="center" vertical="center" wrapText="1"/>
    </xf>
    <xf numFmtId="0" fontId="2" fillId="9" borderId="155" applyAlignment="1" pivotButton="0" quotePrefix="0" xfId="0">
      <alignment horizontal="center" vertical="center" wrapText="1"/>
    </xf>
    <xf numFmtId="3" fontId="22" fillId="0" borderId="155" applyAlignment="1" pivotButton="0" quotePrefix="0" xfId="0">
      <alignment horizontal="center" vertical="center" wrapText="1"/>
    </xf>
    <xf numFmtId="0" fontId="21" fillId="7" borderId="0" applyAlignment="1" pivotButton="0" quotePrefix="0" xfId="0">
      <alignment horizontal="center" vertical="center"/>
    </xf>
    <xf numFmtId="0" fontId="21" fillId="10" borderId="0" applyAlignment="1" pivotButton="0" quotePrefix="0" xfId="0">
      <alignment vertical="center"/>
    </xf>
    <xf numFmtId="0" fontId="0" fillId="10" borderId="0" applyAlignment="1" pivotButton="0" quotePrefix="0" xfId="0">
      <alignment horizontal="left" vertical="center"/>
    </xf>
    <xf numFmtId="165" fontId="21" fillId="10" borderId="0" applyAlignment="1" pivotButton="0" quotePrefix="0" xfId="2">
      <alignment vertical="center"/>
    </xf>
    <xf numFmtId="165" fontId="21" fillId="7" borderId="0" applyAlignment="1" pivotButton="0" quotePrefix="0" xfId="2">
      <alignment horizontal="center" vertical="center"/>
    </xf>
    <xf numFmtId="165" fontId="0" fillId="0" borderId="0" applyAlignment="1" pivotButton="0" quotePrefix="0" xfId="2">
      <alignment horizontal="center" vertical="center"/>
    </xf>
    <xf numFmtId="165" fontId="9" fillId="6" borderId="110" applyAlignment="1" pivotButton="0" quotePrefix="0" xfId="2">
      <alignment horizontal="center" vertical="center"/>
    </xf>
    <xf numFmtId="165" fontId="15" fillId="0" borderId="108" applyAlignment="1" pivotButton="0" quotePrefix="0" xfId="2">
      <alignment horizontal="center" vertical="center"/>
    </xf>
    <xf numFmtId="165" fontId="0" fillId="0" borderId="108" applyAlignment="1" pivotButton="0" quotePrefix="0" xfId="2">
      <alignment horizontal="center" vertical="center"/>
    </xf>
    <xf numFmtId="165" fontId="10" fillId="0" borderId="108" applyAlignment="1" pivotButton="0" quotePrefix="0" xfId="2">
      <alignment horizontal="center" vertical="center"/>
    </xf>
    <xf numFmtId="0" fontId="5" fillId="0" borderId="100" applyAlignment="1" pivotButton="0" quotePrefix="0" xfId="0">
      <alignment horizontal="center" vertical="center"/>
    </xf>
    <xf numFmtId="0" fontId="5" fillId="0" borderId="141" applyAlignment="1" pivotButton="0" quotePrefix="0" xfId="0">
      <alignment horizontal="center" vertical="center"/>
    </xf>
    <xf numFmtId="4" fontId="18" fillId="0" borderId="3" applyAlignment="1" pivotButton="0" quotePrefix="0" xfId="0">
      <alignment horizontal="center" vertical="center" wrapText="1"/>
    </xf>
    <xf numFmtId="4" fontId="18" fillId="0" borderId="4" applyAlignment="1" pivotButton="0" quotePrefix="0" xfId="0">
      <alignment horizontal="center" vertical="center" wrapText="1"/>
    </xf>
    <xf numFmtId="4" fontId="18" fillId="0" borderId="9" applyAlignment="1" pivotButton="0" quotePrefix="0" xfId="0">
      <alignment horizontal="center" vertical="center" wrapText="1"/>
    </xf>
    <xf numFmtId="4" fontId="18" fillId="0" borderId="10" applyAlignment="1" pivotButton="0" quotePrefix="0" xfId="0">
      <alignment horizontal="center" vertical="center" wrapText="1"/>
    </xf>
    <xf numFmtId="9" fontId="18" fillId="0" borderId="3" applyAlignment="1" pivotButton="0" quotePrefix="0" xfId="1">
      <alignment horizontal="center" vertical="center" wrapText="1"/>
    </xf>
    <xf numFmtId="9" fontId="18" fillId="0" borderId="4" applyAlignment="1" pivotButton="0" quotePrefix="0" xfId="1">
      <alignment horizontal="center" vertical="center" wrapText="1"/>
    </xf>
    <xf numFmtId="166" fontId="2" fillId="2" borderId="147" applyAlignment="1" pivotButton="0" quotePrefix="0" xfId="2">
      <alignment horizontal="center" vertical="center" wrapText="1"/>
    </xf>
    <xf numFmtId="4" fontId="22" fillId="0" borderId="147" applyAlignment="1" pivotButton="0" quotePrefix="0" xfId="0">
      <alignment horizontal="center" vertical="center" wrapText="1"/>
    </xf>
    <xf numFmtId="0" fontId="1" fillId="0" borderId="25" applyAlignment="1" pivotButton="0" quotePrefix="0" xfId="0">
      <alignment horizontal="center" vertical="center" wrapText="1"/>
    </xf>
    <xf numFmtId="0" fontId="1" fillId="0" borderId="26" applyAlignment="1" pivotButton="0" quotePrefix="0" xfId="0">
      <alignment horizontal="center" vertical="center" wrapText="1"/>
    </xf>
    <xf numFmtId="0" fontId="1" fillId="0" borderId="21" applyAlignment="1" pivotButton="0" quotePrefix="0" xfId="0">
      <alignment horizontal="center" vertical="center" wrapText="1"/>
    </xf>
    <xf numFmtId="0" fontId="1" fillId="0" borderId="22" applyAlignment="1" pivotButton="0" quotePrefix="0" xfId="0">
      <alignment horizontal="center" vertical="center" wrapText="1"/>
    </xf>
    <xf numFmtId="0" fontId="1" fillId="0" borderId="61" applyAlignment="1" pivotButton="0" quotePrefix="0" xfId="0">
      <alignment horizontal="center" vertical="center" wrapText="1"/>
    </xf>
    <xf numFmtId="0" fontId="1" fillId="0" borderId="62" applyAlignment="1" pivotButton="0" quotePrefix="0" xfId="0">
      <alignment horizontal="center" vertical="center" wrapText="1"/>
    </xf>
    <xf numFmtId="3" fontId="22" fillId="0" borderId="118" applyAlignment="1" pivotButton="0" quotePrefix="0" xfId="0">
      <alignment horizontal="center" vertical="center" wrapText="1"/>
    </xf>
    <xf numFmtId="0" fontId="0" fillId="0" borderId="158" pivotButton="0" quotePrefix="0" xfId="0"/>
    <xf numFmtId="0" fontId="0" fillId="0" borderId="159" pivotButton="0" quotePrefix="0" xfId="0"/>
    <xf numFmtId="0" fontId="0" fillId="0" borderId="161" pivotButton="0" quotePrefix="0" xfId="0"/>
    <xf numFmtId="0" fontId="5" fillId="0" borderId="93" pivotButton="0" quotePrefix="0" xfId="0"/>
    <xf numFmtId="0" fontId="0" fillId="0" borderId="160" pivotButton="0" quotePrefix="0" xfId="0"/>
    <xf numFmtId="0" fontId="0" fillId="0" borderId="162" pivotButton="0" quotePrefix="0" xfId="0"/>
    <xf numFmtId="3" fontId="22" fillId="0" borderId="166" applyAlignment="1" pivotButton="0" quotePrefix="0" xfId="0">
      <alignment horizontal="center" vertical="center" wrapText="1"/>
    </xf>
    <xf numFmtId="0" fontId="2" fillId="0" borderId="118" applyAlignment="1" pivotButton="0" quotePrefix="0" xfId="0">
      <alignment horizontal="center" vertical="center" wrapText="1"/>
    </xf>
    <xf numFmtId="0" fontId="0" fillId="0" borderId="167" pivotButton="0" quotePrefix="0" xfId="0"/>
    <xf numFmtId="0" fontId="2" fillId="3" borderId="33" applyAlignment="1" pivotButton="0" quotePrefix="0" xfId="0">
      <alignment horizontal="center" vertical="center" wrapText="1"/>
    </xf>
    <xf numFmtId="3" fontId="22" fillId="0" borderId="33" applyAlignment="1" pivotButton="0" quotePrefix="0" xfId="0">
      <alignment horizontal="center" vertical="center" wrapText="1"/>
    </xf>
    <xf numFmtId="166" fontId="1" fillId="0" borderId="0" applyAlignment="1" pivotButton="0" quotePrefix="0" xfId="2">
      <alignment vertical="center" wrapText="1"/>
    </xf>
    <xf numFmtId="3" fontId="0" fillId="0" borderId="0" pivotButton="0" quotePrefix="0" xfId="0"/>
    <xf numFmtId="167" fontId="0" fillId="0" borderId="0" pivotButton="0" quotePrefix="0" xfId="0"/>
    <xf numFmtId="166" fontId="0" fillId="0" borderId="0" pivotButton="0" quotePrefix="0" xfId="2"/>
    <xf numFmtId="0" fontId="2" fillId="0" borderId="16" applyAlignment="1" pivotButton="0" quotePrefix="0" xfId="0">
      <alignment horizontal="center" vertical="center" wrapText="1"/>
    </xf>
    <xf numFmtId="3" fontId="22" fillId="0" borderId="16" applyAlignment="1" pivotButton="0" quotePrefix="0" xfId="0">
      <alignment horizontal="center" vertical="center" wrapText="1"/>
    </xf>
    <xf numFmtId="3" fontId="27" fillId="0" borderId="9" applyAlignment="1" pivotButton="0" quotePrefix="0" xfId="0">
      <alignment horizontal="center" vertical="center" wrapText="1"/>
    </xf>
    <xf numFmtId="3" fontId="27" fillId="0" borderId="10" applyAlignment="1" pivotButton="0" quotePrefix="0" xfId="0">
      <alignment horizontal="center" vertical="center" wrapText="1"/>
    </xf>
    <xf numFmtId="0" fontId="18" fillId="0" borderId="0" applyAlignment="1" pivotButton="0" quotePrefix="0" xfId="0">
      <alignment horizontal="center" vertical="center" wrapText="1"/>
    </xf>
    <xf numFmtId="0" fontId="28" fillId="0" borderId="0" applyAlignment="1" pivotButton="0" quotePrefix="0" xfId="0">
      <alignment horizontal="left" vertical="center" wrapText="1"/>
    </xf>
    <xf numFmtId="168" fontId="0" fillId="0" borderId="0" pivotButton="0" quotePrefix="0" xfId="1"/>
    <xf numFmtId="0" fontId="24" fillId="0" borderId="0" applyAlignment="1" pivotButton="0" quotePrefix="0" xfId="0">
      <alignment wrapText="1"/>
    </xf>
    <xf numFmtId="0" fontId="24" fillId="0" borderId="156" applyAlignment="1" pivotButton="0" quotePrefix="0" xfId="0">
      <alignment wrapText="1"/>
    </xf>
    <xf numFmtId="0" fontId="34" fillId="0" borderId="156" applyAlignment="1" pivotButton="0" quotePrefix="0" xfId="0">
      <alignment vertical="center" wrapText="1"/>
    </xf>
    <xf numFmtId="165" fontId="0" fillId="0" borderId="108" applyAlignment="1" pivotButton="0" quotePrefix="0" xfId="2">
      <alignment horizontal="right" vertical="center"/>
    </xf>
    <xf numFmtId="165" fontId="16" fillId="0" borderId="108" applyAlignment="1" pivotButton="0" quotePrefix="0" xfId="2">
      <alignment horizontal="right" vertical="center"/>
    </xf>
    <xf numFmtId="165" fontId="10" fillId="0" borderId="108" applyAlignment="1" pivotButton="0" quotePrefix="0" xfId="2">
      <alignment horizontal="right" vertical="center"/>
    </xf>
    <xf numFmtId="169" fontId="16" fillId="0" borderId="108" applyAlignment="1" pivotButton="0" quotePrefix="0" xfId="2">
      <alignment horizontal="right" vertical="center"/>
    </xf>
    <xf numFmtId="9" fontId="16" fillId="0" borderId="108" applyAlignment="1" pivotButton="0" quotePrefix="0" xfId="1">
      <alignment horizontal="right" vertical="center"/>
    </xf>
    <xf numFmtId="166" fontId="16" fillId="0" borderId="108" applyAlignment="1" pivotButton="0" quotePrefix="0" xfId="2">
      <alignment horizontal="right" vertical="center"/>
    </xf>
    <xf numFmtId="165" fontId="15" fillId="0" borderId="108" applyAlignment="1" pivotButton="0" quotePrefix="0" xfId="2">
      <alignment horizontal="right" vertical="center"/>
    </xf>
    <xf numFmtId="165" fontId="9" fillId="6" borderId="110" applyAlignment="1" pivotButton="0" quotePrefix="0" xfId="2">
      <alignment horizontal="right" vertical="center"/>
    </xf>
    <xf numFmtId="9" fontId="0" fillId="0" borderId="0" pivotButton="0" quotePrefix="0" xfId="1"/>
    <xf numFmtId="0" fontId="2" fillId="14" borderId="172" applyAlignment="1" pivotButton="0" quotePrefix="0" xfId="0">
      <alignment horizontal="center" vertical="center" wrapText="1"/>
    </xf>
    <xf numFmtId="3" fontId="22" fillId="0" borderId="172" applyAlignment="1" pivotButton="0" quotePrefix="0" xfId="0">
      <alignment horizontal="center" vertical="center" wrapText="1"/>
    </xf>
    <xf numFmtId="0" fontId="2" fillId="4" borderId="174" applyAlignment="1" pivotButton="0" quotePrefix="0" xfId="0">
      <alignment horizontal="center" vertical="center" wrapText="1"/>
    </xf>
    <xf numFmtId="3" fontId="22" fillId="0" borderId="174" applyAlignment="1" pivotButton="0" quotePrefix="0" xfId="0">
      <alignment horizontal="center" vertical="center" wrapText="1"/>
    </xf>
    <xf numFmtId="3" fontId="18" fillId="0" borderId="165" applyAlignment="1" pivotButton="0" quotePrefix="0" xfId="0">
      <alignment horizontal="center" vertical="center" wrapText="1"/>
    </xf>
    <xf numFmtId="3" fontId="18" fillId="0" borderId="164" applyAlignment="1" pivotButton="0" quotePrefix="0" xfId="0">
      <alignment horizontal="center" vertical="center" wrapText="1"/>
    </xf>
    <xf numFmtId="0" fontId="10" fillId="6" borderId="110" applyAlignment="1" pivotButton="0" quotePrefix="0" xfId="0">
      <alignment horizontal="center" vertical="center" wrapText="1"/>
    </xf>
    <xf numFmtId="165" fontId="10" fillId="6" borderId="110" applyAlignment="1" pivotButton="0" quotePrefix="0" xfId="2">
      <alignment horizontal="center" vertical="center"/>
    </xf>
    <xf numFmtId="0" fontId="24" fillId="11" borderId="144" applyAlignment="1" applyProtection="1" pivotButton="0" quotePrefix="0" xfId="0">
      <alignment horizontal="center" vertical="center"/>
      <protection locked="0" hidden="0"/>
    </xf>
    <xf numFmtId="0" fontId="24" fillId="7" borderId="144" applyAlignment="1" applyProtection="1" pivotButton="0" quotePrefix="0" xfId="0">
      <alignment horizontal="center"/>
      <protection locked="0" hidden="0"/>
    </xf>
    <xf numFmtId="0" fontId="24" fillId="11" borderId="144" applyAlignment="1" applyProtection="1" pivotButton="0" quotePrefix="0" xfId="0">
      <alignment horizontal="center"/>
      <protection locked="0" hidden="0"/>
    </xf>
    <xf numFmtId="0" fontId="26" fillId="11" borderId="144" applyAlignment="1" applyProtection="1" pivotButton="0" quotePrefix="0" xfId="0">
      <alignment horizontal="center"/>
      <protection locked="0" hidden="0"/>
    </xf>
    <xf numFmtId="0" fontId="38" fillId="17" borderId="144" applyAlignment="1" pivotButton="0" quotePrefix="0" xfId="0">
      <alignment horizontal="center" vertical="center"/>
    </xf>
    <xf numFmtId="0" fontId="38" fillId="17" borderId="144" applyAlignment="1" pivotButton="0" quotePrefix="0" xfId="0">
      <alignment horizontal="left" vertical="center" wrapText="1"/>
    </xf>
    <xf numFmtId="9" fontId="10" fillId="0" borderId="108" applyAlignment="1" pivotButton="0" quotePrefix="0" xfId="1">
      <alignment horizontal="right" vertical="center"/>
    </xf>
    <xf numFmtId="0" fontId="15" fillId="0" borderId="108" applyAlignment="1" pivotButton="0" quotePrefix="0" xfId="0">
      <alignment horizontal="left" vertical="center" indent="1"/>
    </xf>
    <xf numFmtId="0" fontId="0" fillId="0" borderId="108" applyAlignment="1" pivotButton="0" quotePrefix="0" xfId="0">
      <alignment horizontal="left" vertical="center" indent="2"/>
    </xf>
    <xf numFmtId="0" fontId="16" fillId="0" borderId="108" applyAlignment="1" pivotButton="0" quotePrefix="0" xfId="0">
      <alignment horizontal="left" vertical="center" indent="3"/>
    </xf>
    <xf numFmtId="0" fontId="17" fillId="0" borderId="109" applyAlignment="1" pivotButton="0" quotePrefix="0" xfId="0">
      <alignment horizontal="center" vertical="center" wrapText="1"/>
    </xf>
    <xf numFmtId="0" fontId="0" fillId="0" borderId="114" applyAlignment="1" pivotButton="0" quotePrefix="0" xfId="0">
      <alignment horizontal="center" vertical="center"/>
    </xf>
    <xf numFmtId="0" fontId="9" fillId="0" borderId="110" applyAlignment="1" pivotButton="0" quotePrefix="0" xfId="0">
      <alignment horizontal="left" vertical="center"/>
    </xf>
    <xf numFmtId="0" fontId="7" fillId="0" borderId="108" applyAlignment="1" pivotButton="0" quotePrefix="0" xfId="0">
      <alignment horizontal="left" vertical="center" indent="1"/>
    </xf>
    <xf numFmtId="0" fontId="16" fillId="0" borderId="108" applyAlignment="1" pivotButton="0" quotePrefix="0" xfId="0">
      <alignment horizontal="left" vertical="center" indent="2"/>
    </xf>
    <xf numFmtId="0" fontId="16" fillId="0" borderId="109" applyAlignment="1" pivotButton="0" quotePrefix="0" xfId="0">
      <alignment horizontal="left" vertical="center" indent="3"/>
    </xf>
    <xf numFmtId="0" fontId="10" fillId="0" borderId="110" applyAlignment="1" pivotButton="0" quotePrefix="0" xfId="0">
      <alignment horizontal="left" vertical="center"/>
    </xf>
    <xf numFmtId="0" fontId="38" fillId="0" borderId="144" applyAlignment="1" pivotButton="0" quotePrefix="0" xfId="0">
      <alignment horizontal="center" vertical="center"/>
    </xf>
    <xf numFmtId="1" fontId="38" fillId="0" borderId="144" applyAlignment="1" pivotButton="0" quotePrefix="0" xfId="0">
      <alignment horizontal="center" vertical="center"/>
    </xf>
    <xf numFmtId="0" fontId="26" fillId="0" borderId="144" applyAlignment="1" applyProtection="1" pivotButton="0" quotePrefix="0" xfId="0">
      <alignment horizontal="center" vertical="center"/>
      <protection locked="0" hidden="0"/>
    </xf>
    <xf numFmtId="0" fontId="26" fillId="7" borderId="144" applyAlignment="1" applyProtection="1" pivotButton="0" quotePrefix="0" xfId="0">
      <alignment horizontal="center"/>
      <protection locked="0" hidden="0"/>
    </xf>
    <xf numFmtId="0" fontId="26" fillId="11" borderId="144" applyAlignment="1" applyProtection="1" pivotButton="0" quotePrefix="0" xfId="0">
      <alignment horizontal="center" vertical="center" wrapText="1"/>
      <protection locked="0" hidden="0"/>
    </xf>
    <xf numFmtId="0" fontId="26" fillId="7" borderId="144" applyAlignment="1" applyProtection="1" pivotButton="0" quotePrefix="0" xfId="0">
      <alignment horizontal="center" vertical="center"/>
      <protection locked="0" hidden="0"/>
    </xf>
    <xf numFmtId="0" fontId="26" fillId="11" borderId="144" applyAlignment="1" applyProtection="1" pivotButton="0" quotePrefix="0" xfId="0">
      <alignment horizontal="center" vertical="center"/>
      <protection locked="0" hidden="0"/>
    </xf>
    <xf numFmtId="9" fontId="0" fillId="0" borderId="0" applyAlignment="1" pivotButton="0" quotePrefix="0" xfId="1">
      <alignment vertical="center"/>
    </xf>
    <xf numFmtId="0" fontId="5" fillId="0" borderId="77" applyAlignment="1" pivotButton="0" quotePrefix="0" xfId="0">
      <alignment horizontal="center" vertical="center"/>
    </xf>
    <xf numFmtId="166" fontId="1" fillId="0" borderId="0" applyAlignment="1" pivotButton="0" quotePrefix="0" xfId="2">
      <alignment horizontal="center" vertical="center" wrapText="1"/>
    </xf>
    <xf numFmtId="0" fontId="4" fillId="0" borderId="0" applyAlignment="1" pivotButton="0" quotePrefix="0" xfId="0">
      <alignment horizontal="center" vertical="center" wrapText="1"/>
    </xf>
    <xf numFmtId="165" fontId="0" fillId="0" borderId="0" applyAlignment="1" pivotButton="0" quotePrefix="0" xfId="0">
      <alignment vertical="center"/>
    </xf>
    <xf numFmtId="0" fontId="43" fillId="0" borderId="108" applyAlignment="1" pivotButton="0" quotePrefix="0" xfId="0">
      <alignment horizontal="center" vertical="center" wrapText="1"/>
    </xf>
    <xf numFmtId="0" fontId="44" fillId="0" borderId="108" applyAlignment="1" pivotButton="0" quotePrefix="0" xfId="0">
      <alignment horizontal="center" vertical="center" wrapText="1"/>
    </xf>
    <xf numFmtId="9" fontId="45" fillId="0" borderId="108" applyAlignment="1" pivotButton="0" quotePrefix="0" xfId="1">
      <alignment horizontal="right" vertical="center"/>
    </xf>
    <xf numFmtId="9" fontId="15" fillId="0" borderId="108" applyAlignment="1" pivotButton="0" quotePrefix="0" xfId="1">
      <alignment horizontal="right" vertical="center"/>
    </xf>
    <xf numFmtId="166" fontId="45" fillId="0" borderId="108" applyAlignment="1" pivotButton="0" quotePrefix="0" xfId="2">
      <alignment horizontal="right" vertical="center"/>
    </xf>
    <xf numFmtId="0" fontId="45" fillId="0" borderId="0" applyAlignment="1" pivotButton="0" quotePrefix="0" xfId="0">
      <alignment vertical="center"/>
    </xf>
    <xf numFmtId="0" fontId="0" fillId="0" borderId="94" pivotButton="0" quotePrefix="0" xfId="0"/>
    <xf numFmtId="0" fontId="5" fillId="0" borderId="79" applyAlignment="1" pivotButton="0" quotePrefix="0" xfId="0">
      <alignment vertical="center"/>
    </xf>
    <xf numFmtId="0" fontId="0" fillId="0" borderId="16" pivotButton="0" quotePrefix="0" xfId="0"/>
    <xf numFmtId="0" fontId="0" fillId="0" borderId="15" pivotButton="0" quotePrefix="0" xfId="0"/>
    <xf numFmtId="0" fontId="0" fillId="0" borderId="79" pivotButton="0" quotePrefix="0" xfId="0"/>
    <xf numFmtId="0" fontId="0" fillId="0" borderId="14" pivotButton="0" quotePrefix="0" xfId="0"/>
    <xf numFmtId="0" fontId="5" fillId="0" borderId="92" applyAlignment="1" pivotButton="0" quotePrefix="0" xfId="0">
      <alignment vertical="center"/>
    </xf>
    <xf numFmtId="4" fontId="26" fillId="8" borderId="144" applyAlignment="1" applyProtection="1" pivotButton="0" quotePrefix="0" xfId="0">
      <alignment horizontal="center" vertical="center" wrapText="1"/>
      <protection locked="0" hidden="0"/>
    </xf>
    <xf numFmtId="4" fontId="24" fillId="8" borderId="144" applyAlignment="1" applyProtection="1" pivotButton="0" quotePrefix="0" xfId="0">
      <alignment horizontal="center" vertical="center"/>
      <protection locked="0" hidden="0"/>
    </xf>
    <xf numFmtId="0" fontId="24" fillId="11" borderId="144" applyAlignment="1" pivotButton="0" quotePrefix="0" xfId="0">
      <alignment horizontal="center" vertical="center"/>
    </xf>
    <xf numFmtId="0" fontId="24" fillId="7" borderId="144" applyAlignment="1" pivotButton="0" quotePrefix="0" xfId="0">
      <alignment horizontal="center"/>
    </xf>
    <xf numFmtId="0" fontId="24" fillId="15" borderId="144" applyAlignment="1" pivotButton="0" quotePrefix="0" xfId="0">
      <alignment horizontal="center" vertical="center"/>
    </xf>
    <xf numFmtId="0" fontId="24" fillId="8" borderId="144" applyAlignment="1" pivotButton="0" quotePrefix="0" xfId="0">
      <alignment horizontal="center" vertical="center"/>
    </xf>
    <xf numFmtId="0" fontId="24" fillId="0" borderId="0" applyAlignment="1" pivotButton="0" quotePrefix="0" xfId="0">
      <alignment horizontal="left" vertical="center"/>
    </xf>
    <xf numFmtId="0" fontId="24" fillId="0" borderId="0" applyAlignment="1" pivotButton="0" quotePrefix="0" xfId="0">
      <alignment horizontal="center" vertical="center"/>
    </xf>
    <xf numFmtId="0" fontId="24" fillId="0" borderId="0" pivotButton="0" quotePrefix="0" xfId="0"/>
    <xf numFmtId="0" fontId="24" fillId="0" borderId="156" applyAlignment="1" pivotButton="0" quotePrefix="0" xfId="0">
      <alignment horizontal="center" vertical="center"/>
    </xf>
    <xf numFmtId="0" fontId="24" fillId="7" borderId="0" applyAlignment="1" pivotButton="0" quotePrefix="0" xfId="0">
      <alignment horizontal="center" vertical="center"/>
    </xf>
    <xf numFmtId="0" fontId="24" fillId="7" borderId="0" applyAlignment="1" pivotButton="0" quotePrefix="0" xfId="0">
      <alignment horizontal="left" vertical="center"/>
    </xf>
    <xf numFmtId="0" fontId="24" fillId="7" borderId="0" pivotButton="0" quotePrefix="0" xfId="0"/>
    <xf numFmtId="0" fontId="26" fillId="12" borderId="144" applyAlignment="1" pivotButton="0" quotePrefix="0" xfId="0">
      <alignment horizontal="center" vertical="center"/>
    </xf>
    <xf numFmtId="0" fontId="26" fillId="12" borderId="144" applyAlignment="1" pivotButton="0" quotePrefix="0" xfId="0">
      <alignment horizontal="center" vertical="center" wrapText="1"/>
    </xf>
    <xf numFmtId="0" fontId="26" fillId="0" borderId="144" applyAlignment="1" pivotButton="0" quotePrefix="0" xfId="0">
      <alignment horizontal="center" vertical="center" wrapText="1"/>
    </xf>
    <xf numFmtId="0" fontId="24" fillId="0" borderId="144" applyAlignment="1" pivotButton="0" quotePrefix="0" xfId="0">
      <alignment horizontal="center" vertical="center"/>
    </xf>
    <xf numFmtId="0" fontId="24" fillId="16" borderId="144" applyAlignment="1" pivotButton="0" quotePrefix="0" xfId="0">
      <alignment horizontal="left" vertical="center" wrapText="1"/>
    </xf>
    <xf numFmtId="0" fontId="24" fillId="7" borderId="144" applyAlignment="1" pivotButton="0" quotePrefix="0" xfId="0">
      <alignment horizontal="center" vertical="center"/>
    </xf>
    <xf numFmtId="49" fontId="29" fillId="15" borderId="114" applyAlignment="1" pivotButton="0" quotePrefix="0" xfId="0">
      <alignment vertical="center"/>
    </xf>
    <xf numFmtId="49" fontId="29" fillId="15" borderId="116" applyAlignment="1" pivotButton="0" quotePrefix="0" xfId="0">
      <alignment vertical="center" wrapText="1"/>
    </xf>
    <xf numFmtId="0" fontId="24" fillId="7" borderId="144" applyAlignment="1" pivotButton="0" quotePrefix="0" xfId="0">
      <alignment horizontal="left" vertical="center" wrapText="1"/>
    </xf>
    <xf numFmtId="0" fontId="24" fillId="0" borderId="144" applyAlignment="1" pivotButton="0" quotePrefix="0" xfId="0">
      <alignment horizontal="left" vertical="center" wrapText="1"/>
    </xf>
    <xf numFmtId="49" fontId="24" fillId="0" borderId="144" applyAlignment="1" pivotButton="0" quotePrefix="0" xfId="0">
      <alignment horizontal="center" vertical="center"/>
    </xf>
    <xf numFmtId="0" fontId="24" fillId="0" borderId="171" pivotButton="0" quotePrefix="0" xfId="0"/>
    <xf numFmtId="0" fontId="24" fillId="0" borderId="144" applyAlignment="1" pivotButton="0" quotePrefix="0" xfId="0">
      <alignment horizontal="center"/>
    </xf>
    <xf numFmtId="0" fontId="24" fillId="0" borderId="144" applyAlignment="1" pivotButton="0" quotePrefix="0" xfId="0">
      <alignment horizontal="left" wrapText="1"/>
    </xf>
    <xf numFmtId="0" fontId="24" fillId="8" borderId="144" applyAlignment="1" pivotButton="0" quotePrefix="0" xfId="0">
      <alignment horizontal="center"/>
    </xf>
    <xf numFmtId="0" fontId="26" fillId="0" borderId="144" applyAlignment="1" pivotButton="0" quotePrefix="0" xfId="0">
      <alignment horizontal="center" vertical="center"/>
    </xf>
    <xf numFmtId="0" fontId="26" fillId="16" borderId="144" applyAlignment="1" pivotButton="0" quotePrefix="0" xfId="0">
      <alignment horizontal="left" vertical="center" wrapText="1"/>
    </xf>
    <xf numFmtId="49" fontId="26" fillId="0" borderId="144" applyAlignment="1" pivotButton="0" quotePrefix="0" xfId="0">
      <alignment horizontal="center" vertical="center"/>
    </xf>
    <xf numFmtId="0" fontId="26" fillId="0" borderId="144" applyAlignment="1" pivotButton="0" quotePrefix="0" xfId="0">
      <alignment horizontal="left" vertical="center" wrapText="1"/>
    </xf>
    <xf numFmtId="0" fontId="24" fillId="8" borderId="144" applyAlignment="1" pivotButton="0" quotePrefix="0" xfId="0">
      <alignment horizontal="center" vertical="center" wrapText="1"/>
    </xf>
    <xf numFmtId="49" fontId="39" fillId="15" borderId="114" applyAlignment="1" pivotButton="0" quotePrefix="0" xfId="0">
      <alignment vertical="center"/>
    </xf>
    <xf numFmtId="49" fontId="39" fillId="15" borderId="116" applyAlignment="1" pivotButton="0" quotePrefix="0" xfId="0">
      <alignment vertical="center" wrapText="1"/>
    </xf>
    <xf numFmtId="0" fontId="26" fillId="0" borderId="144" applyAlignment="1" pivotButton="0" quotePrefix="0" xfId="0">
      <alignment horizontal="center"/>
    </xf>
    <xf numFmtId="0" fontId="26" fillId="0" borderId="144" applyAlignment="1" pivotButton="0" quotePrefix="0" xfId="0">
      <alignment horizontal="left" wrapText="1"/>
    </xf>
    <xf numFmtId="0" fontId="24" fillId="16" borderId="144" applyAlignment="1" pivotButton="0" quotePrefix="0" xfId="0">
      <alignment horizontal="left" vertical="center"/>
    </xf>
    <xf numFmtId="0" fontId="24" fillId="0" borderId="171" applyAlignment="1" pivotButton="0" quotePrefix="0" xfId="0">
      <alignment vertical="center"/>
    </xf>
    <xf numFmtId="49" fontId="29" fillId="0" borderId="0" applyAlignment="1" pivotButton="0" quotePrefix="0" xfId="0">
      <alignment horizontal="left" vertical="center"/>
    </xf>
    <xf numFmtId="0" fontId="23" fillId="0" borderId="108" applyAlignment="1" pivotButton="0" quotePrefix="0" xfId="0">
      <alignment horizontal="center" vertical="center" wrapText="1"/>
    </xf>
    <xf numFmtId="0" fontId="46" fillId="0" borderId="144" applyAlignment="1" pivotButton="0" quotePrefix="0" xfId="0">
      <alignment horizontal="center" vertical="center"/>
    </xf>
    <xf numFmtId="0" fontId="46" fillId="0" borderId="144" applyAlignment="1" pivotButton="0" quotePrefix="0" xfId="0">
      <alignment horizontal="center" vertical="center" wrapText="1"/>
    </xf>
    <xf numFmtId="0" fontId="26" fillId="7" borderId="0" applyAlignment="1" pivotButton="0" quotePrefix="0" xfId="0">
      <alignment horizontal="center" vertical="center"/>
    </xf>
    <xf numFmtId="0" fontId="26" fillId="0" borderId="0" pivotButton="0" quotePrefix="0" xfId="0"/>
    <xf numFmtId="170" fontId="47" fillId="0" borderId="108" applyAlignment="1" pivotButton="0" quotePrefix="0" xfId="0">
      <alignment horizontal="center" vertical="center"/>
    </xf>
    <xf numFmtId="0" fontId="44" fillId="0" borderId="110" applyAlignment="1" pivotButton="0" quotePrefix="0" xfId="0">
      <alignment horizontal="center" vertical="center" wrapText="1"/>
    </xf>
    <xf numFmtId="0" fontId="42" fillId="6" borderId="110" applyAlignment="1" pivotButton="0" quotePrefix="0" xfId="0">
      <alignment horizontal="center" vertical="center" wrapText="1"/>
    </xf>
    <xf numFmtId="0" fontId="15" fillId="6" borderId="110" applyAlignment="1" pivotButton="0" quotePrefix="0" xfId="0">
      <alignment horizontal="center" vertical="center" wrapText="1"/>
    </xf>
    <xf numFmtId="171" fontId="38" fillId="17" borderId="144" applyAlignment="1" pivotButton="0" quotePrefix="0" xfId="0">
      <alignment horizontal="center" vertical="center"/>
    </xf>
    <xf numFmtId="0" fontId="37" fillId="0" borderId="0" applyAlignment="1" pivotButton="0" quotePrefix="0" xfId="0">
      <alignment horizontal="left" wrapText="1"/>
    </xf>
    <xf numFmtId="0" fontId="40" fillId="0" borderId="0" applyAlignment="1" pivotButton="0" quotePrefix="0" xfId="0">
      <alignment horizontal="left" wrapText="1"/>
    </xf>
    <xf numFmtId="0" fontId="40" fillId="0" borderId="0" applyAlignment="1" pivotButton="0" quotePrefix="0" xfId="0">
      <alignment horizontal="left" vertical="center" wrapText="1"/>
    </xf>
    <xf numFmtId="0" fontId="37" fillId="0" borderId="175" applyAlignment="1" pivotButton="0" quotePrefix="0" xfId="0">
      <alignment horizontal="left" vertical="center" wrapText="1"/>
    </xf>
    <xf numFmtId="0" fontId="37" fillId="0" borderId="0" applyAlignment="1" pivotButton="0" quotePrefix="0" xfId="0">
      <alignment horizontal="left" vertical="center" wrapText="1"/>
    </xf>
    <xf numFmtId="165" fontId="49" fillId="0" borderId="108" applyAlignment="1" pivotButton="0" quotePrefix="0" xfId="0">
      <alignment horizontal="center" vertical="center"/>
    </xf>
    <xf numFmtId="165" fontId="16" fillId="0" borderId="109" applyAlignment="1" pivotButton="0" quotePrefix="0" xfId="2">
      <alignment horizontal="right" vertical="center"/>
    </xf>
    <xf numFmtId="0" fontId="46" fillId="0" borderId="144" applyAlignment="1" pivotButton="0" quotePrefix="0" xfId="0">
      <alignment horizontal="left" vertical="center" wrapText="1"/>
    </xf>
    <xf numFmtId="0" fontId="24" fillId="0" borderId="0" applyAlignment="1" pivotButton="0" quotePrefix="0" xfId="0">
      <alignment horizontal="left" wrapText="1"/>
    </xf>
    <xf numFmtId="0" fontId="24" fillId="12" borderId="144" applyAlignment="1" pivotButton="0" quotePrefix="0" xfId="0">
      <alignment horizontal="center" vertical="center" wrapText="1"/>
    </xf>
    <xf numFmtId="0" fontId="26" fillId="0" borderId="0" applyAlignment="1" pivotButton="0" quotePrefix="0" xfId="0">
      <alignment horizontal="left" wrapText="1"/>
    </xf>
    <xf numFmtId="0" fontId="24" fillId="12" borderId="144" applyAlignment="1" pivotButton="0" quotePrefix="0" xfId="0">
      <alignment horizontal="left" wrapText="1"/>
    </xf>
    <xf numFmtId="0" fontId="37" fillId="0" borderId="0" applyAlignment="1" pivotButton="0" quotePrefix="0" xfId="0">
      <alignment wrapText="1"/>
    </xf>
    <xf numFmtId="0" fontId="0" fillId="0" borderId="0" applyAlignment="1" pivotButton="0" quotePrefix="0" xfId="0">
      <alignment vertical="center" wrapText="1"/>
    </xf>
    <xf numFmtId="0" fontId="21" fillId="10" borderId="0" applyAlignment="1" pivotButton="0" quotePrefix="0" xfId="0">
      <alignment vertical="center" wrapText="1"/>
    </xf>
    <xf numFmtId="1" fontId="0" fillId="8" borderId="144" applyAlignment="1" pivotButton="0" quotePrefix="0" xfId="0">
      <alignment wrapText="1"/>
    </xf>
    <xf numFmtId="0" fontId="9" fillId="6" borderId="110" applyAlignment="1" pivotButton="0" quotePrefix="0" xfId="0">
      <alignment vertical="center" wrapText="1"/>
    </xf>
    <xf numFmtId="0" fontId="10" fillId="6" borderId="110" applyAlignment="1" pivotButton="0" quotePrefix="0" xfId="0">
      <alignment vertical="center" wrapText="1"/>
    </xf>
    <xf numFmtId="0" fontId="10" fillId="0" borderId="108" applyAlignment="1" pivotButton="0" quotePrefix="0" xfId="0">
      <alignment horizontal="left" vertical="center" wrapText="1"/>
    </xf>
    <xf numFmtId="0" fontId="0" fillId="0" borderId="108" applyAlignment="1" pivotButton="0" quotePrefix="0" xfId="0">
      <alignment horizontal="left" vertical="center" wrapText="1"/>
    </xf>
    <xf numFmtId="0" fontId="16" fillId="0" borderId="108" applyAlignment="1" pivotButton="0" quotePrefix="0" xfId="0">
      <alignment horizontal="left" vertical="center" wrapText="1"/>
    </xf>
    <xf numFmtId="0" fontId="16" fillId="0" borderId="109" applyAlignment="1" pivotButton="0" quotePrefix="0" xfId="0">
      <alignment horizontal="left" vertical="center" wrapText="1"/>
    </xf>
    <xf numFmtId="14" fontId="26" fillId="8" borderId="144" applyAlignment="1" applyProtection="1" pivotButton="0" quotePrefix="0" xfId="0">
      <alignment horizontal="center" vertical="center" wrapText="1"/>
      <protection locked="0" hidden="0"/>
    </xf>
    <xf numFmtId="0" fontId="0" fillId="0" borderId="0" applyAlignment="1" pivotButton="0" quotePrefix="0" xfId="0">
      <alignment horizontal="left" vertical="center" wrapText="1" indent="1"/>
    </xf>
    <xf numFmtId="0" fontId="52" fillId="0" borderId="0" pivotButton="0" quotePrefix="0" xfId="0"/>
    <xf numFmtId="0" fontId="0" fillId="0" borderId="176" applyAlignment="1" pivotButton="0" quotePrefix="0" xfId="0">
      <alignment horizontal="left" vertical="center" wrapText="1" indent="1"/>
    </xf>
    <xf numFmtId="0" fontId="0" fillId="18" borderId="176" pivotButton="0" quotePrefix="0" xfId="0"/>
    <xf numFmtId="0" fontId="10" fillId="0" borderId="176" applyAlignment="1" pivotButton="0" quotePrefix="0" xfId="0">
      <alignment horizontal="center" vertical="center"/>
    </xf>
    <xf numFmtId="0" fontId="53" fillId="11" borderId="0" applyAlignment="1" pivotButton="0" quotePrefix="0" xfId="0">
      <alignment vertical="center"/>
    </xf>
    <xf numFmtId="0" fontId="52" fillId="0" borderId="0" applyAlignment="1" pivotButton="0" quotePrefix="0" xfId="0">
      <alignment vertical="center"/>
    </xf>
    <xf numFmtId="169" fontId="0" fillId="0" borderId="108" applyAlignment="1" pivotButton="0" quotePrefix="0" xfId="2">
      <alignment horizontal="right" vertical="center"/>
    </xf>
    <xf numFmtId="4" fontId="26" fillId="8" borderId="144" applyAlignment="1" applyProtection="1" pivotButton="0" quotePrefix="0" xfId="0">
      <alignment horizontal="center" vertical="center"/>
      <protection locked="0" hidden="0"/>
    </xf>
    <xf numFmtId="0" fontId="37" fillId="0" borderId="144" applyAlignment="1" pivotButton="0" quotePrefix="0" xfId="0">
      <alignment horizontal="left" vertical="center" wrapText="1"/>
    </xf>
    <xf numFmtId="0" fontId="51" fillId="0" borderId="144" applyAlignment="1" pivotButton="0" quotePrefix="0" xfId="4">
      <alignment horizontal="left" vertical="center" wrapText="1"/>
    </xf>
    <xf numFmtId="0" fontId="26" fillId="8" borderId="144" applyAlignment="1" applyProtection="1" pivotButton="0" quotePrefix="0" xfId="0">
      <alignment horizontal="left" vertical="center" wrapText="1"/>
      <protection locked="0" hidden="0"/>
    </xf>
    <xf numFmtId="0" fontId="25" fillId="7" borderId="157" applyAlignment="1" pivotButton="0" quotePrefix="0" xfId="0">
      <alignment vertical="center"/>
    </xf>
    <xf numFmtId="0" fontId="25" fillId="7" borderId="170" applyAlignment="1" pivotButton="0" quotePrefix="0" xfId="0">
      <alignment vertical="center"/>
    </xf>
    <xf numFmtId="0" fontId="39" fillId="12" borderId="144" applyAlignment="1" pivotButton="0" quotePrefix="0" xfId="0">
      <alignment horizontal="left" vertical="center"/>
    </xf>
    <xf numFmtId="0" fontId="39" fillId="12" borderId="144" applyAlignment="1" pivotButton="0" quotePrefix="0" xfId="0">
      <alignment horizontal="center" vertical="center"/>
    </xf>
    <xf numFmtId="166" fontId="0" fillId="0" borderId="108" applyAlignment="1" pivotButton="0" quotePrefix="0" xfId="2">
      <alignment horizontal="right" vertical="center"/>
    </xf>
    <xf numFmtId="166" fontId="15" fillId="0" borderId="108" applyAlignment="1" pivotButton="0" quotePrefix="0" xfId="2">
      <alignment horizontal="right" vertical="center"/>
    </xf>
    <xf numFmtId="166" fontId="7" fillId="0" borderId="108" applyAlignment="1" pivotButton="0" quotePrefix="0" xfId="2">
      <alignment horizontal="right" vertical="center"/>
    </xf>
    <xf numFmtId="0" fontId="24" fillId="8" borderId="144" applyAlignment="1" applyProtection="1" pivotButton="0" quotePrefix="0" xfId="0">
      <alignment horizontal="center"/>
      <protection locked="0" hidden="0"/>
    </xf>
    <xf numFmtId="0" fontId="26" fillId="12" borderId="114" applyAlignment="1" pivotButton="0" quotePrefix="0" xfId="0">
      <alignment horizontal="center" vertical="center"/>
    </xf>
    <xf numFmtId="0" fontId="25" fillId="8" borderId="114" applyAlignment="1" pivotButton="0" quotePrefix="0" xfId="0">
      <alignment vertical="center" wrapText="1"/>
    </xf>
    <xf numFmtId="0" fontId="26" fillId="12" borderId="114" applyAlignment="1" pivotButton="0" quotePrefix="0" xfId="0">
      <alignment horizontal="center" vertical="center" wrapText="1"/>
    </xf>
    <xf numFmtId="0" fontId="26" fillId="12" borderId="177" applyAlignment="1" pivotButton="0" quotePrefix="0" xfId="0">
      <alignment horizontal="center" vertical="center"/>
    </xf>
    <xf numFmtId="0" fontId="26" fillId="0" borderId="115" applyAlignment="1" pivotButton="0" quotePrefix="0" xfId="0">
      <alignment horizontal="center" vertical="center"/>
    </xf>
    <xf numFmtId="0" fontId="26" fillId="12" borderId="144" applyAlignment="1" pivotButton="0" quotePrefix="0" xfId="0">
      <alignment horizontal="left" vertical="center" wrapText="1"/>
    </xf>
    <xf numFmtId="0" fontId="37" fillId="12" borderId="144" applyAlignment="1" pivotButton="0" quotePrefix="0" xfId="0">
      <alignment horizontal="left" vertical="center" wrapText="1"/>
    </xf>
    <xf numFmtId="0" fontId="24" fillId="0" borderId="144" applyAlignment="1" pivotButton="0" quotePrefix="0" xfId="0">
      <alignment horizontal="center" vertical="center" wrapText="1"/>
    </xf>
    <xf numFmtId="1" fontId="38" fillId="17" borderId="144" applyAlignment="1" pivotButton="0" quotePrefix="0" xfId="0">
      <alignment horizontal="center" vertical="center"/>
    </xf>
    <xf numFmtId="0" fontId="24" fillId="11" borderId="144" applyAlignment="1" pivotButton="0" quotePrefix="0" xfId="0">
      <alignment horizontal="center"/>
    </xf>
    <xf numFmtId="0" fontId="24" fillId="11" borderId="144" applyAlignment="1" pivotButton="0" quotePrefix="0" xfId="0">
      <alignment horizontal="left"/>
    </xf>
    <xf numFmtId="0" fontId="29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9" fillId="12" borderId="110" applyAlignment="1" pivotButton="0" quotePrefix="0" xfId="0">
      <alignment vertical="center" wrapText="1"/>
    </xf>
    <xf numFmtId="0" fontId="9" fillId="12" borderId="110" applyAlignment="1" pivotButton="0" quotePrefix="0" xfId="0">
      <alignment horizontal="center" vertical="center" wrapText="1"/>
    </xf>
    <xf numFmtId="165" fontId="10" fillId="16" borderId="112" applyAlignment="1" pivotButton="0" quotePrefix="0" xfId="2">
      <alignment horizontal="center" vertical="center"/>
    </xf>
    <xf numFmtId="0" fontId="10" fillId="16" borderId="112" applyAlignment="1" pivotButton="0" quotePrefix="0" xfId="0">
      <alignment horizontal="center" vertical="center"/>
    </xf>
    <xf numFmtId="0" fontId="0" fillId="16" borderId="115" applyAlignment="1" pivotButton="0" quotePrefix="0" xfId="0">
      <alignment vertical="center" wrapText="1"/>
    </xf>
    <xf numFmtId="0" fontId="13" fillId="16" borderId="115" applyAlignment="1" pivotButton="0" quotePrefix="0" xfId="0">
      <alignment horizontal="center" vertical="center" wrapText="1"/>
    </xf>
    <xf numFmtId="165" fontId="0" fillId="16" borderId="115" applyAlignment="1" pivotButton="0" quotePrefix="0" xfId="2">
      <alignment horizontal="center" vertical="center"/>
    </xf>
    <xf numFmtId="0" fontId="12" fillId="0" borderId="117" applyAlignment="1" pivotButton="0" quotePrefix="0" xfId="0">
      <alignment vertical="center"/>
    </xf>
    <xf numFmtId="3" fontId="39" fillId="12" borderId="144" applyAlignment="1" pivotButton="0" quotePrefix="0" xfId="0">
      <alignment vertical="center"/>
    </xf>
    <xf numFmtId="0" fontId="24" fillId="12" borderId="0" applyAlignment="1" pivotButton="0" quotePrefix="0" xfId="0">
      <alignment horizontal="center" vertical="center"/>
    </xf>
    <xf numFmtId="0" fontId="26" fillId="12" borderId="144" applyAlignment="1" pivotButton="0" quotePrefix="0" xfId="0">
      <alignment horizontal="left" vertical="center"/>
    </xf>
    <xf numFmtId="0" fontId="55" fillId="0" borderId="0" applyAlignment="1" pivotButton="0" quotePrefix="0" xfId="0">
      <alignment horizontal="left"/>
    </xf>
    <xf numFmtId="0" fontId="56" fillId="0" borderId="0" applyAlignment="1" pivotButton="0" quotePrefix="0" xfId="0">
      <alignment horizontal="left"/>
    </xf>
    <xf numFmtId="0" fontId="35" fillId="0" borderId="144" pivotButton="0" quotePrefix="0" xfId="0"/>
    <xf numFmtId="0" fontId="35" fillId="0" borderId="0" applyAlignment="1" pivotButton="0" quotePrefix="0" xfId="0">
      <alignment horizontal="left" vertical="center"/>
    </xf>
    <xf numFmtId="0" fontId="35" fillId="11" borderId="144" pivotButton="0" quotePrefix="0" xfId="0"/>
    <xf numFmtId="0" fontId="35" fillId="0" borderId="0" applyAlignment="1" pivotButton="0" quotePrefix="0" xfId="0">
      <alignment horizontal="center" vertical="center"/>
    </xf>
    <xf numFmtId="0" fontId="35" fillId="0" borderId="0" pivotButton="0" quotePrefix="0" xfId="0"/>
    <xf numFmtId="0" fontId="57" fillId="0" borderId="0" applyAlignment="1" pivotButton="0" quotePrefix="0" xfId="0">
      <alignment wrapText="1"/>
    </xf>
    <xf numFmtId="0" fontId="35" fillId="0" borderId="0" applyAlignment="1" pivotButton="0" quotePrefix="0" xfId="0">
      <alignment horizontal="left" wrapText="1"/>
    </xf>
    <xf numFmtId="0" fontId="56" fillId="19" borderId="0" applyAlignment="1" pivotButton="0" quotePrefix="0" xfId="0">
      <alignment horizontal="left" vertical="center"/>
    </xf>
    <xf numFmtId="0" fontId="55" fillId="19" borderId="0" applyAlignment="1" pivotButton="0" quotePrefix="0" xfId="0">
      <alignment horizontal="left" vertical="center"/>
    </xf>
    <xf numFmtId="4" fontId="26" fillId="15" borderId="144" applyAlignment="1" applyProtection="1" pivotButton="0" quotePrefix="0" xfId="0">
      <alignment horizontal="center" vertical="center"/>
      <protection locked="0" hidden="0"/>
    </xf>
    <xf numFmtId="4" fontId="26" fillId="11" borderId="144" applyAlignment="1" applyProtection="1" pivotButton="0" quotePrefix="0" xfId="0">
      <alignment horizontal="center" vertical="center" wrapText="1"/>
      <protection locked="0" hidden="0"/>
    </xf>
    <xf numFmtId="4" fontId="26" fillId="11" borderId="144" applyAlignment="1" applyProtection="1" pivotButton="0" quotePrefix="0" xfId="1">
      <alignment horizontal="center" vertical="center" wrapText="1"/>
      <protection locked="0" hidden="0"/>
    </xf>
    <xf numFmtId="4" fontId="26" fillId="11" borderId="144" applyAlignment="1" applyProtection="1" pivotButton="0" quotePrefix="0" xfId="0">
      <alignment horizontal="center"/>
      <protection locked="0" hidden="0"/>
    </xf>
    <xf numFmtId="4" fontId="24" fillId="11" borderId="144" applyAlignment="1" applyProtection="1" pivotButton="0" quotePrefix="0" xfId="0">
      <alignment horizontal="center" vertical="center"/>
      <protection locked="0" hidden="0"/>
    </xf>
    <xf numFmtId="4" fontId="26" fillId="8" borderId="144" applyAlignment="1" applyProtection="1" pivotButton="0" quotePrefix="0" xfId="1">
      <alignment horizontal="center" vertical="center"/>
      <protection locked="0" hidden="0"/>
    </xf>
    <xf numFmtId="4" fontId="38" fillId="17" borderId="144" applyAlignment="1" applyProtection="1" pivotButton="0" quotePrefix="0" xfId="0">
      <alignment horizontal="center" vertical="center"/>
      <protection locked="0" hidden="0"/>
    </xf>
    <xf numFmtId="4" fontId="24" fillId="15" borderId="144" applyAlignment="1" applyProtection="1" pivotButton="0" quotePrefix="0" xfId="0">
      <alignment horizontal="center" vertical="center"/>
      <protection locked="0" hidden="0"/>
    </xf>
    <xf numFmtId="4" fontId="24" fillId="8" borderId="144" applyAlignment="1" applyProtection="1" pivotButton="0" quotePrefix="0" xfId="1">
      <alignment horizontal="center" vertical="center"/>
      <protection locked="0" hidden="0"/>
    </xf>
    <xf numFmtId="4" fontId="24" fillId="11" borderId="144" applyAlignment="1" applyProtection="1" pivotButton="0" quotePrefix="0" xfId="1">
      <alignment horizontal="center" vertical="center"/>
      <protection locked="0" hidden="0"/>
    </xf>
    <xf numFmtId="10" fontId="24" fillId="8" borderId="144" applyAlignment="1" applyProtection="1" pivotButton="0" quotePrefix="0" xfId="1">
      <alignment horizontal="center" vertical="center"/>
      <protection locked="0" hidden="0"/>
    </xf>
    <xf numFmtId="165" fontId="50" fillId="0" borderId="108" applyAlignment="1" pivotButton="0" quotePrefix="0" xfId="0">
      <alignment horizontal="center" vertical="center"/>
    </xf>
    <xf numFmtId="165" fontId="47" fillId="0" borderId="108" applyAlignment="1" pivotButton="0" quotePrefix="0" xfId="0">
      <alignment horizontal="center" vertical="center"/>
    </xf>
    <xf numFmtId="165" fontId="9" fillId="6" borderId="108" applyAlignment="1" pivotButton="0" quotePrefix="0" xfId="0">
      <alignment horizontal="center" vertical="center"/>
    </xf>
    <xf numFmtId="165" fontId="10" fillId="6" borderId="108" applyAlignment="1" pivotButton="0" quotePrefix="0" xfId="0">
      <alignment horizontal="center" vertical="center"/>
    </xf>
    <xf numFmtId="165" fontId="9" fillId="6" borderId="108" applyAlignment="1" pivotButton="0" quotePrefix="0" xfId="0">
      <alignment horizontal="right" vertical="center"/>
    </xf>
    <xf numFmtId="165" fontId="10" fillId="6" borderId="108" applyAlignment="1" pivotButton="0" quotePrefix="0" xfId="0">
      <alignment horizontal="right" vertical="center"/>
    </xf>
    <xf numFmtId="165" fontId="49" fillId="0" borderId="108" applyAlignment="1" pivotButton="0" quotePrefix="0" xfId="0">
      <alignment horizontal="right" vertical="center"/>
    </xf>
    <xf numFmtId="165" fontId="50" fillId="0" borderId="108" applyAlignment="1" pivotButton="0" quotePrefix="0" xfId="0">
      <alignment horizontal="right" vertical="center"/>
    </xf>
    <xf numFmtId="165" fontId="7" fillId="0" borderId="108" applyAlignment="1" pivotButton="0" quotePrefix="0" xfId="2">
      <alignment horizontal="right" vertical="center"/>
    </xf>
    <xf numFmtId="3" fontId="50" fillId="0" borderId="108" applyAlignment="1" pivotButton="0" quotePrefix="0" xfId="0">
      <alignment horizontal="right" vertical="center"/>
    </xf>
    <xf numFmtId="3" fontId="50" fillId="0" borderId="109" applyAlignment="1" pivotButton="0" quotePrefix="0" xfId="0">
      <alignment horizontal="right" vertical="center"/>
    </xf>
    <xf numFmtId="165" fontId="10" fillId="0" borderId="108" applyAlignment="1" pivotButton="0" quotePrefix="0" xfId="0">
      <alignment horizontal="right" vertical="center"/>
    </xf>
    <xf numFmtId="165" fontId="0" fillId="16" borderId="115" applyAlignment="1" pivotButton="0" quotePrefix="0" xfId="0">
      <alignment horizontal="right" vertical="center"/>
    </xf>
    <xf numFmtId="165" fontId="42" fillId="6" borderId="108" applyAlignment="1" pivotButton="0" quotePrefix="0" xfId="0">
      <alignment horizontal="center" vertical="center"/>
    </xf>
    <xf numFmtId="165" fontId="7" fillId="0" borderId="108" applyAlignment="1" pivotButton="0" quotePrefix="0" xfId="0">
      <alignment horizontal="center" vertical="center"/>
    </xf>
    <xf numFmtId="165" fontId="45" fillId="0" borderId="108" applyAlignment="1" pivotButton="0" quotePrefix="0" xfId="0">
      <alignment horizontal="center" vertical="center"/>
    </xf>
    <xf numFmtId="165" fontId="7" fillId="0" borderId="108" applyAlignment="1" pivotButton="0" quotePrefix="0" xfId="0">
      <alignment horizontal="right" vertical="center"/>
    </xf>
    <xf numFmtId="0" fontId="21" fillId="0" borderId="0" applyAlignment="1" pivotButton="0" quotePrefix="0" xfId="0">
      <alignment vertical="center"/>
    </xf>
    <xf numFmtId="0" fontId="21" fillId="0" borderId="0" applyAlignment="1" pivotButton="0" quotePrefix="0" xfId="0">
      <alignment horizontal="center" vertical="center"/>
    </xf>
    <xf numFmtId="165" fontId="9" fillId="0" borderId="0" applyAlignment="1" pivotButton="0" quotePrefix="0" xfId="0">
      <alignment vertical="center"/>
    </xf>
    <xf numFmtId="9" fontId="9" fillId="0" borderId="0" applyAlignment="1" pivotButton="0" quotePrefix="0" xfId="1">
      <alignment vertical="center"/>
    </xf>
    <xf numFmtId="165" fontId="10" fillId="0" borderId="0" applyAlignment="1" pivotButton="0" quotePrefix="0" xfId="0">
      <alignment vertical="center"/>
    </xf>
    <xf numFmtId="172" fontId="0" fillId="0" borderId="0" applyAlignment="1" pivotButton="0" quotePrefix="0" xfId="0">
      <alignment vertical="center"/>
    </xf>
    <xf numFmtId="9" fontId="26" fillId="8" borderId="144" applyAlignment="1" applyProtection="1" pivotButton="0" quotePrefix="0" xfId="1">
      <alignment horizontal="center" vertical="center" wrapText="1"/>
      <protection locked="0" hidden="0"/>
    </xf>
    <xf numFmtId="166" fontId="10" fillId="0" borderId="108" applyAlignment="1" pivotButton="0" quotePrefix="0" xfId="2">
      <alignment horizontal="right" vertical="center"/>
    </xf>
    <xf numFmtId="14" fontId="10" fillId="0" borderId="0" pivotButton="0" quotePrefix="0" xfId="0"/>
    <xf numFmtId="0" fontId="37" fillId="0" borderId="0" pivotButton="0" quotePrefix="0" xfId="0"/>
    <xf numFmtId="0" fontId="24" fillId="20" borderId="144" applyAlignment="1" pivotButton="0" quotePrefix="0" xfId="0">
      <alignment horizontal="center"/>
    </xf>
    <xf numFmtId="0" fontId="24" fillId="20" borderId="144" applyAlignment="1" pivotButton="0" quotePrefix="0" xfId="0">
      <alignment horizontal="left" vertical="center" wrapText="1"/>
    </xf>
    <xf numFmtId="0" fontId="26" fillId="20" borderId="144" applyAlignment="1" applyProtection="1" pivotButton="0" quotePrefix="0" xfId="0">
      <alignment horizontal="center"/>
      <protection locked="0" hidden="0"/>
    </xf>
    <xf numFmtId="0" fontId="26" fillId="20" borderId="144" applyAlignment="1" pivotButton="0" quotePrefix="0" xfId="0">
      <alignment horizontal="left" vertical="center" wrapText="1"/>
    </xf>
    <xf numFmtId="0" fontId="26" fillId="20" borderId="144" applyAlignment="1" pivotButton="0" quotePrefix="0" xfId="0">
      <alignment horizontal="center" vertical="center"/>
    </xf>
    <xf numFmtId="0" fontId="24" fillId="20" borderId="144" applyAlignment="1" applyProtection="1" pivotButton="0" quotePrefix="0" xfId="0">
      <alignment horizontal="center"/>
      <protection locked="0" hidden="0"/>
    </xf>
    <xf numFmtId="0" fontId="24" fillId="20" borderId="144" applyAlignment="1" pivotButton="0" quotePrefix="0" xfId="0">
      <alignment horizontal="center" vertical="center"/>
    </xf>
    <xf numFmtId="0" fontId="29" fillId="0" borderId="0" applyAlignment="1" pivotButton="0" quotePrefix="0" xfId="0">
      <alignment vertical="center"/>
    </xf>
    <xf numFmtId="0" fontId="32" fillId="0" borderId="0" applyAlignment="1" pivotButton="0" quotePrefix="0" xfId="0">
      <alignment vertical="center"/>
    </xf>
    <xf numFmtId="0" fontId="32" fillId="0" borderId="0" applyProtection="1" pivotButton="0" quotePrefix="0" xfId="0">
      <protection locked="0" hidden="0"/>
    </xf>
    <xf numFmtId="0" fontId="32" fillId="0" borderId="0" applyAlignment="1" applyProtection="1" pivotButton="0" quotePrefix="0" xfId="0">
      <alignment vertical="center"/>
      <protection locked="0" hidden="0"/>
    </xf>
    <xf numFmtId="10" fontId="24" fillId="11" borderId="144" applyAlignment="1" applyProtection="1" pivotButton="0" quotePrefix="0" xfId="1">
      <alignment horizontal="center" vertical="center"/>
      <protection locked="0" hidden="0"/>
    </xf>
    <xf numFmtId="0" fontId="49" fillId="0" borderId="0" applyAlignment="1" pivotButton="0" quotePrefix="0" xfId="0">
      <alignment vertical="center"/>
    </xf>
    <xf numFmtId="0" fontId="10" fillId="16" borderId="144" applyAlignment="1" pivotButton="0" quotePrefix="0" xfId="0">
      <alignment horizontal="center" vertical="center"/>
    </xf>
    <xf numFmtId="0" fontId="0" fillId="0" borderId="108" applyAlignment="1" pivotButton="0" quotePrefix="0" xfId="0">
      <alignment horizontal="center" vertical="center" wrapText="1"/>
    </xf>
    <xf numFmtId="165" fontId="0" fillId="0" borderId="108" applyAlignment="1" pivotButton="0" quotePrefix="0" xfId="0">
      <alignment horizontal="left" vertical="center" wrapText="1"/>
    </xf>
    <xf numFmtId="165" fontId="10" fillId="6" borderId="110" applyAlignment="1" pivotButton="0" quotePrefix="0" xfId="0">
      <alignment vertical="center" wrapText="1"/>
    </xf>
    <xf numFmtId="0" fontId="60" fillId="0" borderId="0" applyAlignment="1" pivotButton="0" quotePrefix="0" xfId="0">
      <alignment vertical="center"/>
    </xf>
    <xf numFmtId="0" fontId="9" fillId="11" borderId="110" applyAlignment="1" pivotButton="0" quotePrefix="0" xfId="0">
      <alignment vertical="center" wrapText="1"/>
    </xf>
    <xf numFmtId="0" fontId="9" fillId="11" borderId="110" applyAlignment="1" pivotButton="0" quotePrefix="0" xfId="0">
      <alignment horizontal="center" vertical="center" wrapText="1"/>
    </xf>
    <xf numFmtId="165" fontId="9" fillId="11" borderId="110" applyAlignment="1" pivotButton="0" quotePrefix="0" xfId="2">
      <alignment horizontal="center" vertical="center"/>
    </xf>
    <xf numFmtId="165" fontId="9" fillId="11" borderId="108" applyAlignment="1" pivotButton="0" quotePrefix="0" xfId="0">
      <alignment horizontal="center" vertical="center"/>
    </xf>
    <xf numFmtId="0" fontId="10" fillId="11" borderId="110" applyAlignment="1" pivotButton="0" quotePrefix="0" xfId="0">
      <alignment vertical="center" wrapText="1"/>
    </xf>
    <xf numFmtId="0" fontId="10" fillId="11" borderId="110" applyAlignment="1" pivotButton="0" quotePrefix="0" xfId="0">
      <alignment horizontal="center" vertical="center" wrapText="1"/>
    </xf>
    <xf numFmtId="165" fontId="10" fillId="11" borderId="110" applyAlignment="1" pivotButton="0" quotePrefix="0" xfId="2">
      <alignment horizontal="center" vertical="center"/>
    </xf>
    <xf numFmtId="165" fontId="10" fillId="11" borderId="108" applyAlignment="1" pivotButton="0" quotePrefix="0" xfId="0">
      <alignment horizontal="center" vertical="center"/>
    </xf>
    <xf numFmtId="0" fontId="10" fillId="11" borderId="108" applyAlignment="1" pivotButton="0" quotePrefix="0" xfId="0">
      <alignment horizontal="left" vertical="center" wrapText="1"/>
    </xf>
    <xf numFmtId="0" fontId="14" fillId="11" borderId="110" applyAlignment="1" pivotButton="0" quotePrefix="0" xfId="0">
      <alignment horizontal="center" vertical="center" wrapText="1"/>
    </xf>
    <xf numFmtId="165" fontId="15" fillId="11" borderId="108" applyAlignment="1" pivotButton="0" quotePrefix="0" xfId="2">
      <alignment horizontal="right" vertical="center"/>
    </xf>
    <xf numFmtId="165" fontId="48" fillId="11" borderId="108" applyAlignment="1" pivotButton="0" quotePrefix="0" xfId="0">
      <alignment horizontal="center" vertical="center"/>
    </xf>
    <xf numFmtId="0" fontId="16" fillId="11" borderId="108" applyAlignment="1" pivotButton="0" quotePrefix="0" xfId="0">
      <alignment horizontal="left" vertical="center" wrapText="1"/>
    </xf>
    <xf numFmtId="0" fontId="17" fillId="11" borderId="108" applyAlignment="1" pivotButton="0" quotePrefix="0" xfId="0">
      <alignment horizontal="center" vertical="center" wrapText="1"/>
    </xf>
    <xf numFmtId="165" fontId="0" fillId="11" borderId="108" applyAlignment="1" pivotButton="0" quotePrefix="0" xfId="2">
      <alignment horizontal="right" vertical="center"/>
    </xf>
    <xf numFmtId="165" fontId="0" fillId="11" borderId="108" applyAlignment="1" pivotButton="0" quotePrefix="0" xfId="0">
      <alignment horizontal="center" vertical="center"/>
    </xf>
    <xf numFmtId="165" fontId="16" fillId="11" borderId="108" applyAlignment="1" pivotButton="0" quotePrefix="0" xfId="2">
      <alignment horizontal="right" vertical="center"/>
    </xf>
    <xf numFmtId="9" fontId="16" fillId="11" borderId="108" applyAlignment="1" pivotButton="0" quotePrefix="0" xfId="1">
      <alignment horizontal="right" vertical="center"/>
    </xf>
    <xf numFmtId="165" fontId="16" fillId="11" borderId="108" applyAlignment="1" pivotButton="0" quotePrefix="0" xfId="0">
      <alignment horizontal="center" vertical="center"/>
    </xf>
    <xf numFmtId="165" fontId="10" fillId="11" borderId="108" applyAlignment="1" pivotButton="0" quotePrefix="0" xfId="2">
      <alignment horizontal="right" vertical="center"/>
    </xf>
    <xf numFmtId="0" fontId="13" fillId="11" borderId="108" applyAlignment="1" pivotButton="0" quotePrefix="0" xfId="0">
      <alignment horizontal="center" vertical="center" wrapText="1"/>
    </xf>
    <xf numFmtId="9" fontId="0" fillId="11" borderId="108" applyAlignment="1" pivotButton="0" quotePrefix="0" xfId="1">
      <alignment horizontal="right" vertical="center"/>
    </xf>
    <xf numFmtId="9" fontId="49" fillId="11" borderId="108" applyAlignment="1" pivotButton="0" quotePrefix="0" xfId="1">
      <alignment horizontal="center" vertical="center"/>
    </xf>
    <xf numFmtId="0" fontId="9" fillId="11" borderId="110" applyAlignment="1" pivotButton="0" quotePrefix="0" xfId="0">
      <alignment horizontal="left" vertical="center"/>
    </xf>
    <xf numFmtId="0" fontId="10" fillId="11" borderId="110" applyAlignment="1" pivotButton="0" quotePrefix="0" xfId="0">
      <alignment horizontal="left" vertical="center"/>
    </xf>
    <xf numFmtId="0" fontId="15" fillId="11" borderId="108" applyAlignment="1" pivotButton="0" quotePrefix="0" xfId="0">
      <alignment horizontal="left" vertical="center" indent="1"/>
    </xf>
    <xf numFmtId="0" fontId="0" fillId="11" borderId="108" applyAlignment="1" pivotButton="0" quotePrefix="0" xfId="0">
      <alignment horizontal="left" vertical="center" indent="2"/>
    </xf>
    <xf numFmtId="0" fontId="16" fillId="11" borderId="108" applyAlignment="1" pivotButton="0" quotePrefix="0" xfId="0">
      <alignment horizontal="left" vertical="center" indent="3"/>
    </xf>
    <xf numFmtId="165" fontId="58" fillId="0" borderId="108" applyAlignment="1" pivotButton="0" quotePrefix="0" xfId="0">
      <alignment horizontal="right" vertical="center"/>
    </xf>
    <xf numFmtId="165" fontId="61" fillId="0" borderId="108" applyAlignment="1" pivotButton="0" quotePrefix="0" xfId="0">
      <alignment horizontal="right" vertical="center"/>
    </xf>
    <xf numFmtId="173" fontId="9" fillId="12" borderId="110" applyAlignment="1" pivotButton="0" quotePrefix="0" xfId="2">
      <alignment horizontal="center" vertical="center"/>
    </xf>
    <xf numFmtId="173" fontId="9" fillId="12" borderId="108" applyAlignment="1" pivotButton="0" quotePrefix="0" xfId="0">
      <alignment horizontal="center" vertical="center"/>
    </xf>
    <xf numFmtId="0" fontId="62" fillId="0" borderId="0" applyAlignment="1" pivotButton="0" quotePrefix="0" xfId="0">
      <alignment vertical="center"/>
    </xf>
    <xf numFmtId="165" fontId="53" fillId="0" borderId="0" applyAlignment="1" pivotButton="0" quotePrefix="0" xfId="0">
      <alignment vertical="center"/>
    </xf>
    <xf numFmtId="0" fontId="53" fillId="0" borderId="0" applyAlignment="1" pivotButton="0" quotePrefix="0" xfId="0">
      <alignment vertical="center"/>
    </xf>
    <xf numFmtId="0" fontId="48" fillId="0" borderId="0" applyAlignment="1" pivotButton="0" quotePrefix="0" xfId="0">
      <alignment vertical="center"/>
    </xf>
    <xf numFmtId="165" fontId="49" fillId="0" borderId="0" applyAlignment="1" pivotButton="0" quotePrefix="0" xfId="0">
      <alignment vertical="center"/>
    </xf>
    <xf numFmtId="0" fontId="50" fillId="0" borderId="0" applyAlignment="1" pivotButton="0" quotePrefix="0" xfId="0">
      <alignment vertical="center"/>
    </xf>
    <xf numFmtId="9" fontId="50" fillId="0" borderId="0" applyAlignment="1" pivotButton="0" quotePrefix="0" xfId="0">
      <alignment vertical="center"/>
    </xf>
    <xf numFmtId="165" fontId="50" fillId="0" borderId="0" applyAlignment="1" pivotButton="0" quotePrefix="0" xfId="0">
      <alignment vertical="center"/>
    </xf>
    <xf numFmtId="174" fontId="49" fillId="0" borderId="0" applyAlignment="1" pivotButton="0" quotePrefix="0" xfId="2">
      <alignment horizontal="center" vertical="center"/>
    </xf>
    <xf numFmtId="0" fontId="63" fillId="0" borderId="0" applyAlignment="1" pivotButton="0" quotePrefix="0" xfId="0">
      <alignment vertical="center"/>
    </xf>
    <xf numFmtId="0" fontId="63" fillId="10" borderId="0" applyAlignment="1" pivotButton="0" quotePrefix="0" xfId="0">
      <alignment vertical="center"/>
    </xf>
    <xf numFmtId="0" fontId="63" fillId="0" borderId="0" applyAlignment="1" pivotButton="0" quotePrefix="0" xfId="0">
      <alignment horizontal="center" vertical="center"/>
    </xf>
    <xf numFmtId="0" fontId="63" fillId="7" borderId="0" applyAlignment="1" pivotButton="0" quotePrefix="0" xfId="0">
      <alignment horizontal="center" vertical="center"/>
    </xf>
    <xf numFmtId="165" fontId="48" fillId="0" borderId="0" applyAlignment="1" pivotButton="0" quotePrefix="0" xfId="0">
      <alignment vertical="center"/>
    </xf>
    <xf numFmtId="165" fontId="49" fillId="0" borderId="0" applyAlignment="1" pivotButton="0" quotePrefix="0" xfId="2">
      <alignment vertical="center"/>
    </xf>
    <xf numFmtId="3" fontId="24" fillId="0" borderId="0" pivotButton="0" quotePrefix="0" xfId="0"/>
    <xf numFmtId="3" fontId="26" fillId="12" borderId="144" applyAlignment="1" pivotButton="0" quotePrefix="0" xfId="0">
      <alignment horizontal="center" vertical="center"/>
    </xf>
    <xf numFmtId="3" fontId="24" fillId="7" borderId="0" applyAlignment="1" pivotButton="0" quotePrefix="0" xfId="0">
      <alignment horizontal="center"/>
    </xf>
    <xf numFmtId="3" fontId="24" fillId="0" borderId="0" applyAlignment="1" pivotButton="0" quotePrefix="0" xfId="0">
      <alignment horizontal="center"/>
    </xf>
    <xf numFmtId="3" fontId="26" fillId="8" borderId="144" applyAlignment="1" applyProtection="1" pivotButton="0" quotePrefix="0" xfId="0">
      <alignment horizontal="center" vertical="center" wrapText="1"/>
      <protection locked="0" hidden="0"/>
    </xf>
    <xf numFmtId="0" fontId="29" fillId="0" borderId="0" pivotButton="0" quotePrefix="0" xfId="0"/>
    <xf numFmtId="0" fontId="29" fillId="0" borderId="144" pivotButton="0" quotePrefix="0" xfId="0"/>
    <xf numFmtId="3" fontId="29" fillId="0" borderId="0" applyAlignment="1" pivotButton="0" quotePrefix="0" xfId="0">
      <alignment horizontal="center"/>
    </xf>
    <xf numFmtId="3" fontId="39" fillId="8" borderId="144" applyAlignment="1" applyProtection="1" pivotButton="0" quotePrefix="0" xfId="0">
      <alignment horizontal="center" vertical="center" wrapText="1"/>
      <protection locked="0" hidden="0"/>
    </xf>
    <xf numFmtId="4" fontId="29" fillId="11" borderId="144" applyAlignment="1" applyProtection="1" pivotButton="0" quotePrefix="0" xfId="0">
      <alignment horizontal="center" vertical="center"/>
      <protection locked="0" hidden="0"/>
    </xf>
    <xf numFmtId="0" fontId="29" fillId="0" borderId="144" applyAlignment="1" pivotButton="0" quotePrefix="0" xfId="0">
      <alignment horizontal="center" vertical="center"/>
    </xf>
    <xf numFmtId="0" fontId="24" fillId="0" borderId="0" applyAlignment="1" pivotButton="0" quotePrefix="0" xfId="0">
      <alignment vertical="top" wrapText="1"/>
    </xf>
    <xf numFmtId="0" fontId="35" fillId="0" borderId="0" applyAlignment="1" pivotButton="0" quotePrefix="0" xfId="0">
      <alignment horizontal="right"/>
    </xf>
    <xf numFmtId="0" fontId="37" fillId="0" borderId="144" applyAlignment="1" applyProtection="1" pivotButton="0" quotePrefix="0" xfId="0">
      <alignment horizontal="left" vertical="center" wrapText="1"/>
      <protection locked="0" hidden="0"/>
    </xf>
    <xf numFmtId="0" fontId="26" fillId="0" borderId="144" applyAlignment="1" applyProtection="1" pivotButton="0" quotePrefix="0" xfId="0">
      <alignment horizontal="left" vertical="center" wrapText="1"/>
      <protection locked="0" hidden="0"/>
    </xf>
    <xf numFmtId="3" fontId="39" fillId="12" borderId="14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1" fillId="0" borderId="95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" fillId="0" borderId="84" applyAlignment="1" pivotButton="0" quotePrefix="0" xfId="0">
      <alignment horizontal="center" vertical="center" wrapText="1"/>
    </xf>
    <xf numFmtId="0" fontId="5" fillId="0" borderId="76" applyAlignment="1" pivotButton="0" quotePrefix="0" xfId="0">
      <alignment horizontal="center" vertical="center"/>
    </xf>
    <xf numFmtId="0" fontId="5" fillId="0" borderId="75" applyAlignment="1" pivotButton="0" quotePrefix="0" xfId="0">
      <alignment horizontal="center" vertical="center"/>
    </xf>
    <xf numFmtId="0" fontId="5" fillId="0" borderId="78" applyAlignment="1" pivotButton="0" quotePrefix="0" xfId="0">
      <alignment horizontal="center" vertical="center"/>
    </xf>
    <xf numFmtId="3" fontId="22" fillId="0" borderId="0" applyAlignment="1" pivotButton="0" quotePrefix="0" xfId="0">
      <alignment horizontal="center" vertical="center" wrapText="1"/>
    </xf>
    <xf numFmtId="0" fontId="2" fillId="2" borderId="14" applyAlignment="1" pivotButton="0" quotePrefix="0" xfId="0">
      <alignment horizontal="center" vertical="center" wrapText="1"/>
    </xf>
    <xf numFmtId="3" fontId="22" fillId="0" borderId="14" applyAlignment="1" pivotButton="0" quotePrefix="0" xfId="0">
      <alignment horizontal="center" vertical="center" wrapText="1"/>
    </xf>
    <xf numFmtId="0" fontId="1" fillId="0" borderId="70" applyAlignment="1" pivotButton="0" quotePrefix="0" xfId="0">
      <alignment horizontal="center" vertical="center" wrapText="1"/>
    </xf>
    <xf numFmtId="0" fontId="5" fillId="0" borderId="74" applyAlignment="1" pivotButton="0" quotePrefix="0" xfId="0">
      <alignment horizontal="center" vertical="center"/>
    </xf>
    <xf numFmtId="0" fontId="25" fillId="7" borderId="0" applyAlignment="1" pivotButton="0" quotePrefix="0" xfId="0">
      <alignment vertical="center"/>
    </xf>
    <xf numFmtId="0" fontId="26" fillId="12" borderId="177" applyAlignment="1" pivotButton="0" quotePrefix="0" xfId="0">
      <alignment horizontal="center" vertical="center" wrapText="1"/>
    </xf>
    <xf numFmtId="0" fontId="24" fillId="8" borderId="144" applyAlignment="1" applyProtection="1" pivotButton="0" quotePrefix="0" xfId="0">
      <alignment horizontal="center" vertical="center"/>
      <protection locked="0" hidden="0"/>
    </xf>
    <xf numFmtId="0" fontId="10" fillId="17" borderId="0" applyAlignment="1" pivotButton="0" quotePrefix="0" xfId="0">
      <alignment vertical="center"/>
    </xf>
    <xf numFmtId="0" fontId="0" fillId="17" borderId="0" pivotButton="0" quotePrefix="0" xfId="0"/>
    <xf numFmtId="0" fontId="9" fillId="17" borderId="144" applyAlignment="1" pivotButton="0" quotePrefix="0" xfId="0">
      <alignment horizontal="center" vertical="center" wrapText="1"/>
    </xf>
    <xf numFmtId="0" fontId="52" fillId="0" borderId="144" applyAlignment="1" pivotButton="0" quotePrefix="0" xfId="0">
      <alignment vertical="center"/>
    </xf>
    <xf numFmtId="0" fontId="52" fillId="0" borderId="144" applyAlignment="1" pivotButton="0" quotePrefix="0" xfId="0">
      <alignment vertical="center" wrapText="1"/>
    </xf>
    <xf numFmtId="0" fontId="52" fillId="0" borderId="144" applyAlignment="1" pivotButton="0" quotePrefix="0" xfId="0">
      <alignment horizontal="center" vertical="center"/>
    </xf>
    <xf numFmtId="0" fontId="52" fillId="0" borderId="144" applyAlignment="1" pivotButton="0" quotePrefix="0" xfId="0">
      <alignment horizontal="center" vertical="center" wrapText="1"/>
    </xf>
    <xf numFmtId="0" fontId="24" fillId="0" borderId="157" applyAlignment="1" pivotButton="0" quotePrefix="0" xfId="0">
      <alignment horizontal="center" vertical="center"/>
    </xf>
    <xf numFmtId="0" fontId="35" fillId="21" borderId="144" pivotButton="0" quotePrefix="0" xfId="0"/>
    <xf numFmtId="0" fontId="26" fillId="0" borderId="117" applyAlignment="1" pivotButton="0" quotePrefix="0" xfId="0">
      <alignment horizontal="center" vertical="center"/>
    </xf>
    <xf numFmtId="0" fontId="26" fillId="7" borderId="0" pivotButton="0" quotePrefix="0" xfId="0"/>
    <xf numFmtId="0" fontId="24" fillId="0" borderId="144" applyAlignment="1" applyProtection="1" pivotButton="0" quotePrefix="0" xfId="0">
      <alignment horizontal="center" vertical="center"/>
      <protection locked="0" hidden="0"/>
    </xf>
    <xf numFmtId="0" fontId="67" fillId="0" borderId="108" applyAlignment="1" pivotButton="0" quotePrefix="0" xfId="0">
      <alignment horizontal="left" vertical="center" wrapText="1" indent="2"/>
    </xf>
    <xf numFmtId="0" fontId="54" fillId="7" borderId="178" applyAlignment="1" pivotButton="0" quotePrefix="0" xfId="0">
      <alignment horizontal="center" vertical="center" wrapText="1"/>
    </xf>
    <xf numFmtId="0" fontId="54" fillId="7" borderId="182" applyAlignment="1" pivotButton="0" quotePrefix="0" xfId="0">
      <alignment horizontal="center" vertical="center" wrapText="1"/>
    </xf>
    <xf numFmtId="0" fontId="54" fillId="7" borderId="179" applyAlignment="1" pivotButton="0" quotePrefix="0" xfId="0">
      <alignment horizontal="center" vertical="center" wrapText="1"/>
    </xf>
    <xf numFmtId="3" fontId="39" fillId="12" borderId="114" applyAlignment="1" pivotButton="0" quotePrefix="0" xfId="0">
      <alignment horizontal="center" vertical="center"/>
    </xf>
    <xf numFmtId="3" fontId="39" fillId="12" borderId="116" applyAlignment="1" pivotButton="0" quotePrefix="0" xfId="0">
      <alignment horizontal="center" vertical="center"/>
    </xf>
    <xf numFmtId="3" fontId="39" fillId="12" borderId="144" applyAlignment="1" pivotButton="0" quotePrefix="0" xfId="0">
      <alignment horizontal="center" vertical="center"/>
    </xf>
    <xf numFmtId="0" fontId="66" fillId="0" borderId="117" applyAlignment="1" pivotButton="0" quotePrefix="0" xfId="0">
      <alignment horizontal="left" vertical="center" wrapText="1"/>
    </xf>
    <xf numFmtId="0" fontId="24" fillId="8" borderId="144" applyAlignment="1" applyProtection="1" pivotButton="0" quotePrefix="0" xfId="0">
      <alignment horizontal="left" vertical="center" wrapText="1"/>
      <protection locked="0" hidden="0"/>
    </xf>
    <xf numFmtId="9" fontId="24" fillId="8" borderId="144" applyAlignment="1" applyProtection="1" pivotButton="0" quotePrefix="0" xfId="0">
      <alignment horizontal="center" vertical="center"/>
      <protection locked="0" hidden="0"/>
    </xf>
    <xf numFmtId="3" fontId="26" fillId="12" borderId="114" applyAlignment="1" pivotButton="0" quotePrefix="0" xfId="0">
      <alignment horizontal="center" vertical="center"/>
    </xf>
    <xf numFmtId="3" fontId="26" fillId="12" borderId="116" applyAlignment="1" pivotButton="0" quotePrefix="0" xfId="0">
      <alignment horizontal="center" vertical="center"/>
    </xf>
    <xf numFmtId="0" fontId="24" fillId="8" borderId="144" applyAlignment="1" applyProtection="1" pivotButton="0" quotePrefix="1" xfId="0">
      <alignment horizontal="left" vertical="center" wrapText="1"/>
      <protection locked="0" hidden="0"/>
    </xf>
    <xf numFmtId="9" fontId="24" fillId="8" borderId="144" applyAlignment="1" applyProtection="1" pivotButton="0" quotePrefix="0" xfId="0">
      <alignment horizontal="left" vertical="center" wrapText="1"/>
      <protection locked="0" hidden="0"/>
    </xf>
    <xf numFmtId="0" fontId="37" fillId="0" borderId="0" applyAlignment="1" pivotButton="0" quotePrefix="0" xfId="0">
      <alignment horizontal="left" vertical="center" wrapText="1"/>
    </xf>
    <xf numFmtId="0" fontId="26" fillId="0" borderId="0" applyAlignment="1" pivotButton="0" quotePrefix="0" xfId="0">
      <alignment horizontal="left" vertical="center" wrapText="1"/>
    </xf>
    <xf numFmtId="0" fontId="26" fillId="0" borderId="0" applyAlignment="1" pivotButton="0" quotePrefix="1" xfId="0">
      <alignment horizontal="left" vertical="center" wrapText="1"/>
    </xf>
    <xf numFmtId="0" fontId="24" fillId="0" borderId="0" applyAlignment="1" pivotButton="0" quotePrefix="0" xfId="0">
      <alignment horizontal="left" vertical="center" wrapText="1"/>
    </xf>
    <xf numFmtId="0" fontId="24" fillId="0" borderId="0" applyAlignment="1" pivotButton="0" quotePrefix="0" xfId="0">
      <alignment horizontal="center" vertical="center" wrapText="1"/>
    </xf>
    <xf numFmtId="0" fontId="68" fillId="0" borderId="0" applyAlignment="1" pivotButton="0" quotePrefix="0" xfId="0">
      <alignment horizontal="left" vertical="center" wrapText="1"/>
    </xf>
    <xf numFmtId="0" fontId="10" fillId="0" borderId="107" applyAlignment="1" pivotButton="0" quotePrefix="0" xfId="0">
      <alignment horizontal="center" vertical="center"/>
    </xf>
    <xf numFmtId="0" fontId="10" fillId="0" borderId="111" applyAlignment="1" pivotButton="0" quotePrefix="0" xfId="0">
      <alignment horizontal="center" vertical="center"/>
    </xf>
    <xf numFmtId="0" fontId="10" fillId="16" borderId="107" applyAlignment="1" pivotButton="0" quotePrefix="0" xfId="0">
      <alignment horizontal="center" vertical="center" wrapText="1"/>
    </xf>
    <xf numFmtId="0" fontId="10" fillId="16" borderId="111" applyAlignment="1" pivotButton="0" quotePrefix="0" xfId="0">
      <alignment horizontal="center" vertical="center" wrapText="1"/>
    </xf>
    <xf numFmtId="0" fontId="10" fillId="16" borderId="113" applyAlignment="1" pivotButton="0" quotePrefix="0" xfId="0">
      <alignment horizontal="center" vertical="center" wrapText="1"/>
    </xf>
    <xf numFmtId="0" fontId="10" fillId="16" borderId="112" applyAlignment="1" pivotButton="0" quotePrefix="0" xfId="0">
      <alignment horizontal="center" vertical="center" wrapText="1"/>
    </xf>
    <xf numFmtId="0" fontId="10" fillId="16" borderId="114" applyAlignment="1" pivotButton="0" quotePrefix="0" xfId="0">
      <alignment horizontal="center" vertical="center"/>
    </xf>
    <xf numFmtId="0" fontId="10" fillId="16" borderId="115" applyAlignment="1" pivotButton="0" quotePrefix="0" xfId="0">
      <alignment horizontal="center" vertical="center"/>
    </xf>
    <xf numFmtId="0" fontId="10" fillId="16" borderId="116" applyAlignment="1" pivotButton="0" quotePrefix="0" xfId="0">
      <alignment horizontal="center" vertical="center"/>
    </xf>
    <xf numFmtId="0" fontId="1" fillId="0" borderId="105" applyAlignment="1" pivotButton="0" quotePrefix="0" xfId="0">
      <alignment horizontal="center" vertical="center" wrapText="1"/>
    </xf>
    <xf numFmtId="0" fontId="1" fillId="0" borderId="106" applyAlignment="1" pivotButton="0" quotePrefix="0" xfId="0">
      <alignment horizontal="center" vertical="center" wrapText="1"/>
    </xf>
    <xf numFmtId="0" fontId="2" fillId="3" borderId="80" applyAlignment="1" pivotButton="0" quotePrefix="0" xfId="0">
      <alignment horizontal="center" vertical="center" wrapText="1"/>
    </xf>
    <xf numFmtId="0" fontId="2" fillId="3" borderId="81" applyAlignment="1" pivotButton="0" quotePrefix="0" xfId="0">
      <alignment horizontal="center" vertical="center" wrapText="1"/>
    </xf>
    <xf numFmtId="0" fontId="2" fillId="3" borderId="95" applyAlignment="1" pivotButton="0" quotePrefix="0" xfId="0">
      <alignment horizontal="center" vertical="center" wrapText="1"/>
    </xf>
    <xf numFmtId="0" fontId="2" fillId="3" borderId="96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/>
    </xf>
    <xf numFmtId="0" fontId="1" fillId="0" borderId="80" applyAlignment="1" pivotButton="0" quotePrefix="0" xfId="0">
      <alignment horizontal="center" vertical="center" wrapText="1"/>
    </xf>
    <xf numFmtId="0" fontId="1" fillId="0" borderId="81" applyAlignment="1" pivotButton="0" quotePrefix="0" xfId="0">
      <alignment horizontal="center" vertical="center" wrapText="1"/>
    </xf>
    <xf numFmtId="0" fontId="5" fillId="0" borderId="37" applyAlignment="1" pivotButton="0" quotePrefix="0" xfId="0">
      <alignment horizontal="center" vertical="center"/>
    </xf>
    <xf numFmtId="0" fontId="5" fillId="0" borderId="38" applyAlignment="1" pivotButton="0" quotePrefix="0" xfId="0">
      <alignment horizontal="center" vertical="center"/>
    </xf>
    <xf numFmtId="0" fontId="5" fillId="0" borderId="39" applyAlignment="1" pivotButton="0" quotePrefix="0" xfId="0">
      <alignment horizontal="center" vertical="center"/>
    </xf>
    <xf numFmtId="0" fontId="1" fillId="0" borderId="95" applyAlignment="1" pivotButton="0" quotePrefix="0" xfId="0">
      <alignment horizontal="center" vertical="center" wrapText="1"/>
    </xf>
    <xf numFmtId="0" fontId="1" fillId="0" borderId="96" applyAlignment="1" pivotButton="0" quotePrefix="0" xfId="0">
      <alignment horizontal="center" vertical="center" wrapText="1"/>
    </xf>
    <xf numFmtId="0" fontId="5" fillId="0" borderId="35" applyAlignment="1" pivotButton="0" quotePrefix="0" xfId="0">
      <alignment horizontal="center" vertical="center"/>
    </xf>
    <xf numFmtId="0" fontId="5" fillId="0" borderId="34" applyAlignment="1" pivotButton="0" quotePrefix="0" xfId="0">
      <alignment horizontal="center" vertical="center"/>
    </xf>
    <xf numFmtId="0" fontId="5" fillId="0" borderId="41" applyAlignment="1" pivotButton="0" quotePrefix="0" xfId="0">
      <alignment horizontal="center" vertical="center"/>
    </xf>
    <xf numFmtId="0" fontId="5" fillId="0" borderId="168" applyAlignment="1" pivotButton="0" quotePrefix="0" xfId="0">
      <alignment horizontal="center" vertical="center"/>
    </xf>
    <xf numFmtId="0" fontId="1" fillId="0" borderId="82" applyAlignment="1" pivotButton="0" quotePrefix="0" xfId="0">
      <alignment horizontal="center" vertical="center" wrapText="1"/>
    </xf>
    <xf numFmtId="0" fontId="1" fillId="0" borderId="83" applyAlignment="1" pivotButton="0" quotePrefix="0" xfId="0">
      <alignment horizontal="center" vertical="center" wrapText="1"/>
    </xf>
    <xf numFmtId="0" fontId="5" fillId="0" borderId="32" applyAlignment="1" pivotButton="0" quotePrefix="0" xfId="0">
      <alignment horizontal="center" vertical="center"/>
    </xf>
    <xf numFmtId="0" fontId="1" fillId="0" borderId="122" applyAlignment="1" pivotButton="0" quotePrefix="0" xfId="0">
      <alignment horizontal="center" vertical="center" wrapText="1"/>
    </xf>
    <xf numFmtId="0" fontId="1" fillId="0" borderId="123" applyAlignment="1" pivotButton="0" quotePrefix="0" xfId="0">
      <alignment horizontal="center" vertical="center" wrapText="1"/>
    </xf>
    <xf numFmtId="0" fontId="2" fillId="4" borderId="120" applyAlignment="1" pivotButton="0" quotePrefix="0" xfId="0">
      <alignment horizontal="center" vertical="center" wrapText="1"/>
    </xf>
    <xf numFmtId="0" fontId="2" fillId="4" borderId="121" applyAlignment="1" pivotButton="0" quotePrefix="0" xfId="0">
      <alignment horizontal="center" vertical="center" wrapText="1"/>
    </xf>
    <xf numFmtId="0" fontId="1" fillId="0" borderId="120" applyAlignment="1" pivotButton="0" quotePrefix="0" xfId="0">
      <alignment horizontal="center" vertical="center" wrapText="1"/>
    </xf>
    <xf numFmtId="0" fontId="1" fillId="0" borderId="121" applyAlignment="1" pivotButton="0" quotePrefix="0" xfId="0">
      <alignment horizontal="center" vertical="center" wrapText="1"/>
    </xf>
    <xf numFmtId="0" fontId="5" fillId="0" borderId="68" applyAlignment="1" pivotButton="0" quotePrefix="0" xfId="0">
      <alignment horizontal="center" vertical="center"/>
    </xf>
    <xf numFmtId="0" fontId="5" fillId="0" borderId="69" applyAlignment="1" pivotButton="0" quotePrefix="0" xfId="0">
      <alignment horizontal="center" vertical="center"/>
    </xf>
    <xf numFmtId="0" fontId="1" fillId="0" borderId="136" applyAlignment="1" pivotButton="0" quotePrefix="0" xfId="0">
      <alignment horizontal="center" vertical="center" wrapText="1"/>
    </xf>
    <xf numFmtId="0" fontId="1" fillId="0" borderId="137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" fillId="0" borderId="138" applyAlignment="1" pivotButton="0" quotePrefix="0" xfId="0">
      <alignment horizontal="center" vertical="center" wrapText="1"/>
    </xf>
    <xf numFmtId="0" fontId="1" fillId="0" borderId="139" applyAlignment="1" pivotButton="0" quotePrefix="0" xfId="0">
      <alignment horizontal="center" vertical="center" wrapText="1"/>
    </xf>
    <xf numFmtId="0" fontId="2" fillId="5" borderId="135" applyAlignment="1" pivotButton="0" quotePrefix="0" xfId="0">
      <alignment horizontal="center" vertical="center" wrapText="1"/>
    </xf>
    <xf numFmtId="0" fontId="2" fillId="5" borderId="130" applyAlignment="1" pivotButton="0" quotePrefix="0" xfId="0">
      <alignment horizontal="center" vertical="center" wrapText="1"/>
    </xf>
    <xf numFmtId="0" fontId="1" fillId="0" borderId="135" applyAlignment="1" pivotButton="0" quotePrefix="0" xfId="0">
      <alignment horizontal="center" vertical="center" wrapText="1"/>
    </xf>
    <xf numFmtId="0" fontId="1" fillId="0" borderId="130" applyAlignment="1" pivotButton="0" quotePrefix="0" xfId="0">
      <alignment horizontal="center" vertical="center" wrapText="1"/>
    </xf>
    <xf numFmtId="0" fontId="1" fillId="0" borderId="128" applyAlignment="1" pivotButton="0" quotePrefix="0" xfId="0">
      <alignment horizontal="center" vertical="center" wrapText="1"/>
    </xf>
    <xf numFmtId="0" fontId="1" fillId="0" borderId="129" applyAlignment="1" pivotButton="0" quotePrefix="0" xfId="0">
      <alignment horizontal="center" vertical="center" wrapText="1"/>
    </xf>
    <xf numFmtId="0" fontId="2" fillId="5" borderId="128" applyAlignment="1" pivotButton="0" quotePrefix="0" xfId="0">
      <alignment horizontal="center" vertical="center" wrapText="1"/>
    </xf>
    <xf numFmtId="0" fontId="2" fillId="5" borderId="129" applyAlignment="1" pivotButton="0" quotePrefix="0" xfId="0">
      <alignment horizontal="center" vertical="center" wrapText="1"/>
    </xf>
    <xf numFmtId="0" fontId="5" fillId="0" borderId="134" applyAlignment="1" pivotButton="0" quotePrefix="0" xfId="0">
      <alignment horizontal="center" vertical="center"/>
    </xf>
    <xf numFmtId="0" fontId="5" fillId="0" borderId="132" applyAlignment="1" pivotButton="0" quotePrefix="0" xfId="0">
      <alignment horizontal="center" vertical="center"/>
    </xf>
    <xf numFmtId="0" fontId="5" fillId="0" borderId="133" applyAlignment="1" pivotButton="0" quotePrefix="0" xfId="0">
      <alignment horizontal="center" vertical="center"/>
    </xf>
    <xf numFmtId="0" fontId="5" fillId="0" borderId="131" applyAlignment="1" pivotButton="0" quotePrefix="0" xfId="0">
      <alignment horizontal="center" vertical="center"/>
    </xf>
    <xf numFmtId="0" fontId="5" fillId="0" borderId="54" applyAlignment="1" pivotButton="0" quotePrefix="0" xfId="0">
      <alignment horizontal="center" vertical="center"/>
    </xf>
    <xf numFmtId="0" fontId="5" fillId="0" borderId="101" applyAlignment="1" pivotButton="0" quotePrefix="0" xfId="0">
      <alignment horizontal="center" vertical="center"/>
    </xf>
    <xf numFmtId="0" fontId="5" fillId="0" borderId="16" applyAlignment="1" pivotButton="0" quotePrefix="0" xfId="0">
      <alignment horizontal="center" vertical="center"/>
    </xf>
    <xf numFmtId="0" fontId="5" fillId="0" borderId="79" applyAlignment="1" pivotButton="0" quotePrefix="0" xfId="0">
      <alignment horizontal="center" vertical="center"/>
    </xf>
    <xf numFmtId="0" fontId="4" fillId="2" borderId="84" applyAlignment="1" pivotButton="0" quotePrefix="0" xfId="0">
      <alignment horizontal="center" vertical="center" wrapText="1"/>
    </xf>
    <xf numFmtId="0" fontId="4" fillId="2" borderId="85" applyAlignment="1" pivotButton="0" quotePrefix="0" xfId="0">
      <alignment horizontal="center" vertical="center" wrapText="1"/>
    </xf>
    <xf numFmtId="0" fontId="1" fillId="0" borderId="84" applyAlignment="1" pivotButton="0" quotePrefix="0" xfId="0">
      <alignment horizontal="center" vertical="center" wrapText="1"/>
    </xf>
    <xf numFmtId="0" fontId="1" fillId="0" borderId="85" applyAlignment="1" pivotButton="0" quotePrefix="0" xfId="0">
      <alignment horizontal="center" vertical="center" wrapText="1"/>
    </xf>
    <xf numFmtId="0" fontId="1" fillId="0" borderId="5" applyAlignment="1" pivotButton="0" quotePrefix="0" xfId="0">
      <alignment horizontal="center" vertical="center" wrapText="1"/>
    </xf>
    <xf numFmtId="0" fontId="1" fillId="0" borderId="6" applyAlignment="1" pivotButton="0" quotePrefix="0" xfId="0">
      <alignment horizontal="center" vertical="center" wrapText="1"/>
    </xf>
    <xf numFmtId="0" fontId="1" fillId="0" borderId="88" applyAlignment="1" pivotButton="0" quotePrefix="0" xfId="0">
      <alignment horizontal="center" vertical="center" wrapText="1"/>
    </xf>
    <xf numFmtId="0" fontId="1" fillId="0" borderId="89" applyAlignment="1" pivotButton="0" quotePrefix="0" xfId="0">
      <alignment horizontal="center" vertical="center" wrapText="1"/>
    </xf>
    <xf numFmtId="0" fontId="5" fillId="0" borderId="149" applyAlignment="1" pivotButton="0" quotePrefix="0" xfId="0">
      <alignment horizontal="center" vertical="center"/>
    </xf>
    <xf numFmtId="0" fontId="5" fillId="0" borderId="76" applyAlignment="1" pivotButton="0" quotePrefix="0" xfId="0">
      <alignment horizontal="center" vertical="center"/>
    </xf>
    <xf numFmtId="0" fontId="5" fillId="0" borderId="67" applyAlignment="1" pivotButton="0" quotePrefix="0" xfId="0">
      <alignment horizontal="center" vertical="center"/>
    </xf>
    <xf numFmtId="0" fontId="5" fillId="0" borderId="75" applyAlignment="1" pivotButton="0" quotePrefix="0" xfId="0">
      <alignment horizontal="center" vertical="center"/>
    </xf>
    <xf numFmtId="0" fontId="5" fillId="0" borderId="78" applyAlignment="1" pivotButton="0" quotePrefix="0" xfId="0">
      <alignment horizontal="center" vertical="center"/>
    </xf>
    <xf numFmtId="0" fontId="1" fillId="0" borderId="90" applyAlignment="1" pivotButton="0" quotePrefix="0" xfId="0">
      <alignment horizontal="center" vertical="center" wrapText="1"/>
    </xf>
    <xf numFmtId="0" fontId="1" fillId="0" borderId="91" applyAlignment="1" pivotButton="0" quotePrefix="0" xfId="0">
      <alignment horizontal="center" vertical="center" wrapText="1"/>
    </xf>
    <xf numFmtId="0" fontId="2" fillId="2" borderId="86" applyAlignment="1" pivotButton="0" quotePrefix="0" xfId="0">
      <alignment horizontal="center" vertical="center" wrapText="1"/>
    </xf>
    <xf numFmtId="0" fontId="2" fillId="2" borderId="87" applyAlignment="1" pivotButton="0" quotePrefix="0" xfId="0">
      <alignment horizontal="center" vertical="center" wrapText="1"/>
    </xf>
    <xf numFmtId="0" fontId="5" fillId="0" borderId="148" applyAlignment="1" pivotButton="0" quotePrefix="0" xfId="0">
      <alignment horizontal="center" vertical="center"/>
    </xf>
    <xf numFmtId="0" fontId="1" fillId="0" borderId="86" applyAlignment="1" pivotButton="0" quotePrefix="0" xfId="0">
      <alignment horizontal="center" vertical="center" wrapText="1"/>
    </xf>
    <xf numFmtId="0" fontId="1" fillId="0" borderId="87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/>
    </xf>
    <xf numFmtId="0" fontId="5" fillId="0" borderId="92" applyAlignment="1" pivotButton="0" quotePrefix="0" xfId="0">
      <alignment horizontal="center" vertical="center"/>
    </xf>
    <xf numFmtId="0" fontId="5" fillId="0" borderId="173" applyAlignment="1" pivotButton="0" quotePrefix="0" xfId="0">
      <alignment horizontal="center" vertical="center"/>
    </xf>
    <xf numFmtId="0" fontId="2" fillId="4" borderId="124" applyAlignment="1" pivotButton="0" quotePrefix="0" xfId="0">
      <alignment horizontal="center" vertical="center" wrapText="1"/>
    </xf>
    <xf numFmtId="0" fontId="2" fillId="4" borderId="125" applyAlignment="1" pivotButton="0" quotePrefix="0" xfId="0">
      <alignment horizontal="center" vertical="center" wrapText="1"/>
    </xf>
    <xf numFmtId="0" fontId="1" fillId="0" borderId="124" applyAlignment="1" pivotButton="0" quotePrefix="0" xfId="0">
      <alignment horizontal="center" vertical="center" wrapText="1"/>
    </xf>
    <xf numFmtId="0" fontId="1" fillId="0" borderId="125" applyAlignment="1" pivotButton="0" quotePrefix="0" xfId="0">
      <alignment horizontal="center" vertical="center" wrapText="1"/>
    </xf>
    <xf numFmtId="0" fontId="5" fillId="0" borderId="94" applyAlignment="1" pivotButton="0" quotePrefix="0" xfId="0">
      <alignment horizontal="center"/>
    </xf>
    <xf numFmtId="0" fontId="5" fillId="0" borderId="163" applyAlignment="1" pivotButton="0" quotePrefix="0" xfId="0">
      <alignment horizontal="center"/>
    </xf>
    <xf numFmtId="3" fontId="22" fillId="0" borderId="0" applyAlignment="1" pivotButton="0" quotePrefix="0" xfId="0">
      <alignment horizontal="center" vertical="center" wrapText="1"/>
    </xf>
    <xf numFmtId="0" fontId="5" fillId="0" borderId="102" applyAlignment="1" pivotButton="0" quotePrefix="0" xfId="0">
      <alignment horizontal="center" vertical="center"/>
    </xf>
    <xf numFmtId="0" fontId="2" fillId="2" borderId="14" applyAlignment="1" pivotButton="0" quotePrefix="0" xfId="0">
      <alignment horizontal="center" vertical="center" wrapText="1"/>
    </xf>
    <xf numFmtId="0" fontId="2" fillId="2" borderId="169" applyAlignment="1" pivotButton="0" quotePrefix="0" xfId="0">
      <alignment horizontal="center" vertical="center" wrapText="1"/>
    </xf>
    <xf numFmtId="3" fontId="22" fillId="0" borderId="14" applyAlignment="1" pivotButton="0" quotePrefix="0" xfId="0">
      <alignment horizontal="center" vertical="center" wrapText="1"/>
    </xf>
    <xf numFmtId="3" fontId="22" fillId="0" borderId="169" applyAlignment="1" pivotButton="0" quotePrefix="0" xfId="0">
      <alignment horizontal="center" vertical="center" wrapText="1"/>
    </xf>
    <xf numFmtId="0" fontId="5" fillId="0" borderId="52" applyAlignment="1" pivotButton="0" quotePrefix="0" xfId="0">
      <alignment horizontal="center" vertical="center"/>
    </xf>
    <xf numFmtId="0" fontId="5" fillId="0" borderId="140" applyAlignment="1" pivotButton="0" quotePrefix="0" xfId="0">
      <alignment horizontal="center" vertical="center"/>
    </xf>
    <xf numFmtId="0" fontId="2" fillId="11" borderId="180" applyAlignment="1" pivotButton="0" quotePrefix="0" xfId="0">
      <alignment horizontal="center" vertical="center" wrapText="1"/>
    </xf>
    <xf numFmtId="0" fontId="2" fillId="11" borderId="181" applyAlignment="1" pivotButton="0" quotePrefix="0" xfId="0">
      <alignment horizontal="center" vertical="center" wrapText="1"/>
    </xf>
    <xf numFmtId="3" fontId="22" fillId="0" borderId="180" applyAlignment="1" pivotButton="0" quotePrefix="0" xfId="0">
      <alignment horizontal="center" vertical="center" wrapText="1"/>
    </xf>
    <xf numFmtId="3" fontId="22" fillId="0" borderId="181" applyAlignment="1" pivotButton="0" quotePrefix="0" xfId="0">
      <alignment horizontal="center" vertical="center" wrapText="1"/>
    </xf>
    <xf numFmtId="0" fontId="1" fillId="0" borderId="142" applyAlignment="1" pivotButton="0" quotePrefix="0" xfId="0">
      <alignment horizontal="center" vertical="center" wrapText="1"/>
    </xf>
    <xf numFmtId="0" fontId="1" fillId="0" borderId="143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/>
    </xf>
    <xf numFmtId="0" fontId="5" fillId="0" borderId="66" applyAlignment="1" pivotButton="0" quotePrefix="0" xfId="0">
      <alignment horizontal="center"/>
    </xf>
    <xf numFmtId="0" fontId="1" fillId="0" borderId="126" applyAlignment="1" pivotButton="0" quotePrefix="0" xfId="0">
      <alignment horizontal="center" vertical="center" wrapText="1"/>
    </xf>
    <xf numFmtId="0" fontId="1" fillId="0" borderId="127" applyAlignment="1" pivotButton="0" quotePrefix="0" xfId="0">
      <alignment horizontal="center" vertical="center" wrapText="1"/>
    </xf>
    <xf numFmtId="0" fontId="5" fillId="0" borderId="31" applyAlignment="1" pivotButton="0" quotePrefix="0" xfId="0">
      <alignment horizontal="center" vertical="center"/>
    </xf>
    <xf numFmtId="0" fontId="2" fillId="13" borderId="70" applyAlignment="1" pivotButton="0" quotePrefix="0" xfId="0">
      <alignment horizontal="center" vertical="center" wrapText="1"/>
    </xf>
    <xf numFmtId="0" fontId="2" fillId="13" borderId="71" applyAlignment="1" pivotButton="0" quotePrefix="0" xfId="0">
      <alignment horizontal="center" vertical="center" wrapText="1"/>
    </xf>
    <xf numFmtId="0" fontId="11" fillId="0" borderId="0" applyAlignment="1" pivotButton="0" quotePrefix="0" xfId="0">
      <alignment horizontal="center"/>
    </xf>
    <xf numFmtId="0" fontId="7" fillId="0" borderId="0" applyAlignment="1" pivotButton="0" quotePrefix="0" xfId="0">
      <alignment horizontal="left" vertical="center" wrapText="1"/>
    </xf>
    <xf numFmtId="0" fontId="1" fillId="0" borderId="70" applyAlignment="1" pivotButton="0" quotePrefix="0" xfId="0">
      <alignment horizontal="center" vertical="center" wrapText="1"/>
    </xf>
    <xf numFmtId="0" fontId="1" fillId="0" borderId="71" applyAlignment="1" pivotButton="0" quotePrefix="0" xfId="0">
      <alignment horizontal="center" vertical="center" wrapText="1"/>
    </xf>
    <xf numFmtId="166" fontId="0" fillId="0" borderId="0" applyAlignment="1" pivotButton="0" quotePrefix="0" xfId="2">
      <alignment horizontal="center"/>
    </xf>
    <xf numFmtId="0" fontId="20" fillId="0" borderId="114" applyAlignment="1" pivotButton="0" quotePrefix="0" xfId="0">
      <alignment horizontal="left" vertical="center" wrapText="1" indent="1"/>
    </xf>
    <xf numFmtId="0" fontId="20" fillId="0" borderId="116" applyAlignment="1" pivotButton="0" quotePrefix="0" xfId="0">
      <alignment horizontal="left" vertical="center" wrapText="1" indent="1"/>
    </xf>
    <xf numFmtId="0" fontId="20" fillId="0" borderId="115" applyAlignment="1" pivotButton="0" quotePrefix="0" xfId="0">
      <alignment horizontal="left" vertical="center" wrapText="1" indent="1"/>
    </xf>
    <xf numFmtId="0" fontId="20" fillId="0" borderId="144" applyAlignment="1" pivotButton="0" quotePrefix="0" xfId="0">
      <alignment horizontal="left" vertical="center" wrapText="1" indent="1"/>
    </xf>
    <xf numFmtId="0" fontId="5" fillId="0" borderId="74" applyAlignment="1" pivotButton="0" quotePrefix="0" xfId="0">
      <alignment horizontal="center" vertical="center"/>
    </xf>
    <xf numFmtId="0" fontId="24" fillId="0" borderId="0" applyAlignment="1" pivotButton="0" quotePrefix="0" xfId="0">
      <alignment horizontal="left" vertical="top" wrapText="1"/>
    </xf>
    <xf numFmtId="0" fontId="12" fillId="0" borderId="0" applyAlignment="1" pivotButton="0" quotePrefix="0" xfId="0">
      <alignment horizontal="center" vertical="center"/>
    </xf>
    <xf numFmtId="0" fontId="24" fillId="0" borderId="156" applyAlignment="1" pivotButton="0" quotePrefix="0" xfId="0">
      <alignment horizontal="left" wrapText="1"/>
    </xf>
    <xf numFmtId="0" fontId="24" fillId="0" borderId="156" applyAlignment="1" pivotButton="0" quotePrefix="0" xfId="0">
      <alignment horizontal="left" wrapText="1" indent="1"/>
    </xf>
    <xf numFmtId="0" fontId="24" fillId="0" borderId="156" applyAlignment="1" pivotButton="0" quotePrefix="0" xfId="0">
      <alignment horizontal="left" vertical="center" wrapText="1" indent="3"/>
    </xf>
    <xf numFmtId="0" fontId="24" fillId="0" borderId="156" applyAlignment="1" pivotButton="0" quotePrefix="0" xfId="0">
      <alignment horizontal="left" vertical="center" wrapText="1" indent="1"/>
    </xf>
    <xf numFmtId="0" fontId="29" fillId="0" borderId="156" applyAlignment="1" pivotButton="0" quotePrefix="0" xfId="0">
      <alignment horizontal="center" vertical="center" wrapText="1"/>
    </xf>
    <xf numFmtId="0" fontId="24" fillId="0" borderId="156" applyAlignment="1" pivotButton="0" quotePrefix="0" xfId="0">
      <alignment horizontal="left" vertical="top" wrapText="1" indent="1"/>
    </xf>
    <xf numFmtId="0" fontId="24" fillId="0" borderId="156" applyAlignment="1" pivotButton="0" quotePrefix="0" xfId="0">
      <alignment horizontal="center" wrapText="1"/>
    </xf>
    <xf numFmtId="0" fontId="24" fillId="0" borderId="156" applyAlignment="1" pivotButton="0" quotePrefix="0" xfId="0">
      <alignment horizontal="left" vertical="center" wrapText="1" indent="2"/>
    </xf>
    <xf numFmtId="0" fontId="24" fillId="0" borderId="156" applyAlignment="1" pivotButton="0" quotePrefix="0" xfId="0">
      <alignment horizontal="center" vertical="center" wrapText="1"/>
    </xf>
    <xf numFmtId="0" fontId="30" fillId="0" borderId="156" applyAlignment="1" pivotButton="0" quotePrefix="0" xfId="0">
      <alignment horizontal="left" vertical="center" wrapText="1" indent="1"/>
    </xf>
    <xf numFmtId="0" fontId="24" fillId="0" borderId="156" applyAlignment="1" pivotButton="0" quotePrefix="0" xfId="0">
      <alignment horizontal="left" wrapText="1" indent="3"/>
    </xf>
    <xf numFmtId="49" fontId="33" fillId="0" borderId="156" applyAlignment="1" pivotButton="0" quotePrefix="0" xfId="0">
      <alignment horizontal="left" vertical="top" wrapText="1" indent="2"/>
    </xf>
    <xf numFmtId="0" fontId="24" fillId="0" borderId="156" applyAlignment="1" pivotButton="0" quotePrefix="0" xfId="0">
      <alignment horizontal="left" vertical="top" wrapText="1" indent="2"/>
    </xf>
    <xf numFmtId="0" fontId="36" fillId="0" borderId="156" applyAlignment="1" pivotButton="0" quotePrefix="0" xfId="0">
      <alignment horizontal="center" vertical="center" wrapText="1"/>
    </xf>
    <xf numFmtId="0" fontId="35" fillId="0" borderId="156" applyAlignment="1" pivotButton="0" quotePrefix="0" xfId="0">
      <alignment horizontal="center" vertical="center" wrapText="1"/>
    </xf>
    <xf numFmtId="0" fontId="24" fillId="0" borderId="156" applyAlignment="1" pivotButton="0" quotePrefix="0" xfId="0">
      <alignment horizontal="left" vertical="center" wrapText="1"/>
    </xf>
    <xf numFmtId="0" fontId="54" fillId="7" borderId="187" applyAlignment="1" pivotButton="0" quotePrefix="0" xfId="0">
      <alignment horizontal="center" vertical="center" wrapText="1"/>
    </xf>
    <xf numFmtId="0" fontId="0" fillId="0" borderId="182" pivotButton="0" quotePrefix="0" xfId="0"/>
    <xf numFmtId="0" fontId="0" fillId="0" borderId="179" pivotButton="0" quotePrefix="0" xfId="0"/>
    <xf numFmtId="0" fontId="0" fillId="0" borderId="185" applyProtection="1" pivotButton="0" quotePrefix="0" xfId="0">
      <protection locked="0" hidden="0"/>
    </xf>
    <xf numFmtId="0" fontId="0" fillId="0" borderId="186" applyProtection="1" pivotButton="0" quotePrefix="0" xfId="0">
      <protection locked="0" hidden="0"/>
    </xf>
    <xf numFmtId="0" fontId="0" fillId="0" borderId="117" pivotButton="0" quotePrefix="0" xfId="0"/>
    <xf numFmtId="3" fontId="26" fillId="12" borderId="188" applyAlignment="1" pivotButton="0" quotePrefix="0" xfId="0">
      <alignment horizontal="center" vertical="center"/>
    </xf>
    <xf numFmtId="0" fontId="0" fillId="0" borderId="116" pivotButton="0" quotePrefix="0" xfId="0"/>
    <xf numFmtId="3" fontId="39" fillId="12" borderId="188" applyAlignment="1" pivotButton="0" quotePrefix="0" xfId="0">
      <alignment horizontal="center" vertical="center"/>
    </xf>
    <xf numFmtId="0" fontId="0" fillId="0" borderId="186" pivotButton="0" quotePrefix="0" xfId="0"/>
    <xf numFmtId="165" fontId="0" fillId="0" borderId="0" applyAlignment="1" pivotButton="0" quotePrefix="0" xfId="2">
      <alignment horizontal="center" vertical="center"/>
    </xf>
    <xf numFmtId="165" fontId="21" fillId="10" borderId="0" applyAlignment="1" pivotButton="0" quotePrefix="0" xfId="2">
      <alignment vertical="center"/>
    </xf>
    <xf numFmtId="165" fontId="21" fillId="7" borderId="0" applyAlignment="1" pivotButton="0" quotePrefix="0" xfId="2">
      <alignment horizontal="center" vertical="center"/>
    </xf>
    <xf numFmtId="0" fontId="10" fillId="16" borderId="192" applyAlignment="1" pivotButton="0" quotePrefix="0" xfId="0">
      <alignment horizontal="center" vertical="center" wrapText="1"/>
    </xf>
    <xf numFmtId="0" fontId="10" fillId="16" borderId="188" applyAlignment="1" pivotButton="0" quotePrefix="0" xfId="0">
      <alignment horizontal="center" vertical="center"/>
    </xf>
    <xf numFmtId="0" fontId="0" fillId="0" borderId="115" pivotButton="0" quotePrefix="0" xfId="0"/>
    <xf numFmtId="0" fontId="0" fillId="0" borderId="110" pivotButton="0" quotePrefix="0" xfId="0"/>
    <xf numFmtId="0" fontId="0" fillId="0" borderId="112" pivotButton="0" quotePrefix="0" xfId="0"/>
    <xf numFmtId="165" fontId="10" fillId="16" borderId="112" applyAlignment="1" pivotButton="0" quotePrefix="0" xfId="2">
      <alignment horizontal="center" vertical="center"/>
    </xf>
    <xf numFmtId="165" fontId="53" fillId="0" borderId="0" applyAlignment="1" pivotButton="0" quotePrefix="0" xfId="0">
      <alignment vertical="center"/>
    </xf>
    <xf numFmtId="165" fontId="9" fillId="6" borderId="110" applyAlignment="1" pivotButton="0" quotePrefix="0" xfId="2">
      <alignment horizontal="center" vertical="center"/>
    </xf>
    <xf numFmtId="165" fontId="9" fillId="6" borderId="108" applyAlignment="1" pivotButton="0" quotePrefix="0" xfId="0">
      <alignment horizontal="right" vertical="center"/>
    </xf>
    <xf numFmtId="165" fontId="9" fillId="0" borderId="0" applyAlignment="1" pivotButton="0" quotePrefix="0" xfId="0">
      <alignment vertical="center"/>
    </xf>
    <xf numFmtId="165" fontId="10" fillId="6" borderId="110" applyAlignment="1" pivotButton="0" quotePrefix="0" xfId="2">
      <alignment horizontal="center" vertical="center"/>
    </xf>
    <xf numFmtId="165" fontId="10" fillId="6" borderId="108" applyAlignment="1" pivotButton="0" quotePrefix="0" xfId="0">
      <alignment horizontal="right" vertical="center"/>
    </xf>
    <xf numFmtId="165" fontId="15" fillId="0" borderId="108" applyAlignment="1" pivotButton="0" quotePrefix="0" xfId="2">
      <alignment horizontal="center" vertical="center"/>
    </xf>
    <xf numFmtId="165" fontId="10" fillId="0" borderId="108" applyAlignment="1" pivotButton="0" quotePrefix="0" xfId="0">
      <alignment horizontal="right" vertical="center"/>
    </xf>
    <xf numFmtId="165" fontId="10" fillId="0" borderId="108" applyAlignment="1" pivotButton="0" quotePrefix="0" xfId="2">
      <alignment horizontal="right" vertical="center"/>
    </xf>
    <xf numFmtId="165" fontId="9" fillId="6" borderId="110" applyAlignment="1" pivotButton="0" quotePrefix="0" xfId="2">
      <alignment horizontal="right" vertical="center"/>
    </xf>
    <xf numFmtId="165" fontId="42" fillId="6" borderId="108" applyAlignment="1" pivotButton="0" quotePrefix="0" xfId="0">
      <alignment horizontal="center" vertical="center"/>
    </xf>
    <xf numFmtId="165" fontId="15" fillId="0" borderId="108" applyAlignment="1" pivotButton="0" quotePrefix="0" xfId="2">
      <alignment horizontal="right" vertical="center"/>
    </xf>
    <xf numFmtId="165" fontId="49" fillId="0" borderId="108" applyAlignment="1" pivotButton="0" quotePrefix="0" xfId="0">
      <alignment horizontal="center" vertical="center"/>
    </xf>
    <xf numFmtId="165" fontId="0" fillId="0" borderId="0" applyAlignment="1" pivotButton="0" quotePrefix="0" xfId="0">
      <alignment vertical="center"/>
    </xf>
    <xf numFmtId="165" fontId="7" fillId="0" borderId="108" applyAlignment="1" pivotButton="0" quotePrefix="0" xfId="0">
      <alignment horizontal="center" vertical="center"/>
    </xf>
    <xf numFmtId="165" fontId="49" fillId="0" borderId="0" applyAlignment="1" pivotButton="0" quotePrefix="0" xfId="0">
      <alignment vertical="center"/>
    </xf>
    <xf numFmtId="165" fontId="10" fillId="0" borderId="0" applyAlignment="1" pivotButton="0" quotePrefix="0" xfId="0">
      <alignment vertical="center"/>
    </xf>
    <xf numFmtId="165" fontId="48" fillId="0" borderId="0" applyAlignment="1" pivotButton="0" quotePrefix="0" xfId="0">
      <alignment vertical="center"/>
    </xf>
    <xf numFmtId="165" fontId="0" fillId="0" borderId="108" applyAlignment="1" pivotButton="0" quotePrefix="0" xfId="2">
      <alignment horizontal="right" vertical="center"/>
    </xf>
    <xf numFmtId="166" fontId="16" fillId="0" borderId="108" applyAlignment="1" pivotButton="0" quotePrefix="0" xfId="2">
      <alignment horizontal="right" vertical="center"/>
    </xf>
    <xf numFmtId="165" fontId="45" fillId="0" borderId="108" applyAlignment="1" pivotButton="0" quotePrefix="0" xfId="0">
      <alignment horizontal="center" vertical="center"/>
    </xf>
    <xf numFmtId="165" fontId="50" fillId="0" borderId="108" applyAlignment="1" pivotButton="0" quotePrefix="0" xfId="0">
      <alignment horizontal="center" vertical="center"/>
    </xf>
    <xf numFmtId="165" fontId="9" fillId="6" borderId="108" applyAlignment="1" pivotButton="0" quotePrefix="0" xfId="0">
      <alignment horizontal="center" vertical="center"/>
    </xf>
    <xf numFmtId="166" fontId="10" fillId="0" borderId="108" applyAlignment="1" pivotButton="0" quotePrefix="0" xfId="2">
      <alignment horizontal="right" vertical="center"/>
    </xf>
    <xf numFmtId="165" fontId="16" fillId="0" borderId="108" applyAlignment="1" pivotButton="0" quotePrefix="0" xfId="2">
      <alignment horizontal="right" vertical="center"/>
    </xf>
    <xf numFmtId="165" fontId="49" fillId="0" borderId="108" applyAlignment="1" pivotButton="0" quotePrefix="0" xfId="0">
      <alignment horizontal="right" vertical="center"/>
    </xf>
    <xf numFmtId="169" fontId="0" fillId="0" borderId="108" applyAlignment="1" pivotButton="0" quotePrefix="0" xfId="2">
      <alignment horizontal="right" vertical="center"/>
    </xf>
    <xf numFmtId="165" fontId="50" fillId="0" borderId="108" applyAlignment="1" pivotButton="0" quotePrefix="0" xfId="0">
      <alignment horizontal="right" vertical="center"/>
    </xf>
    <xf numFmtId="172" fontId="0" fillId="0" borderId="0" applyAlignment="1" pivotButton="0" quotePrefix="0" xfId="0">
      <alignment vertical="center"/>
    </xf>
    <xf numFmtId="165" fontId="7" fillId="0" borderId="108" applyAlignment="1" pivotButton="0" quotePrefix="0" xfId="0">
      <alignment horizontal="right" vertical="center"/>
    </xf>
    <xf numFmtId="165" fontId="58" fillId="0" borderId="108" applyAlignment="1" pivotButton="0" quotePrefix="0" xfId="0">
      <alignment horizontal="right" vertical="center"/>
    </xf>
    <xf numFmtId="165" fontId="61" fillId="0" borderId="108" applyAlignment="1" pivotButton="0" quotePrefix="0" xfId="0">
      <alignment horizontal="right" vertical="center"/>
    </xf>
    <xf numFmtId="165" fontId="9" fillId="11" borderId="110" applyAlignment="1" pivotButton="0" quotePrefix="0" xfId="2">
      <alignment horizontal="center" vertical="center"/>
    </xf>
    <xf numFmtId="165" fontId="9" fillId="11" borderId="108" applyAlignment="1" pivotButton="0" quotePrefix="0" xfId="0">
      <alignment horizontal="center" vertical="center"/>
    </xf>
    <xf numFmtId="165" fontId="10" fillId="11" borderId="110" applyAlignment="1" pivotButton="0" quotePrefix="0" xfId="2">
      <alignment horizontal="center" vertical="center"/>
    </xf>
    <xf numFmtId="165" fontId="10" fillId="11" borderId="108" applyAlignment="1" pivotButton="0" quotePrefix="0" xfId="0">
      <alignment horizontal="center" vertical="center"/>
    </xf>
    <xf numFmtId="165" fontId="15" fillId="11" borderId="108" applyAlignment="1" pivotButton="0" quotePrefix="0" xfId="2">
      <alignment horizontal="right" vertical="center"/>
    </xf>
    <xf numFmtId="165" fontId="48" fillId="11" borderId="108" applyAlignment="1" pivotButton="0" quotePrefix="0" xfId="0">
      <alignment horizontal="center" vertical="center"/>
    </xf>
    <xf numFmtId="165" fontId="0" fillId="11" borderId="108" applyAlignment="1" pivotButton="0" quotePrefix="0" xfId="2">
      <alignment horizontal="right" vertical="center"/>
    </xf>
    <xf numFmtId="165" fontId="0" fillId="11" borderId="108" applyAlignment="1" pivotButton="0" quotePrefix="0" xfId="0">
      <alignment horizontal="center" vertical="center"/>
    </xf>
    <xf numFmtId="165" fontId="16" fillId="11" borderId="108" applyAlignment="1" pivotButton="0" quotePrefix="0" xfId="2">
      <alignment horizontal="right" vertical="center"/>
    </xf>
    <xf numFmtId="165" fontId="16" fillId="11" borderId="108" applyAlignment="1" pivotButton="0" quotePrefix="0" xfId="0">
      <alignment horizontal="center" vertical="center"/>
    </xf>
    <xf numFmtId="165" fontId="10" fillId="11" borderId="108" applyAlignment="1" pivotButton="0" quotePrefix="0" xfId="2">
      <alignment horizontal="right" vertical="center"/>
    </xf>
    <xf numFmtId="165" fontId="10" fillId="6" borderId="108" applyAlignment="1" pivotButton="0" quotePrefix="0" xfId="0">
      <alignment horizontal="center" vertical="center"/>
    </xf>
    <xf numFmtId="165" fontId="49" fillId="0" borderId="0" applyAlignment="1" pivotButton="0" quotePrefix="0" xfId="2">
      <alignment vertical="center"/>
    </xf>
    <xf numFmtId="170" fontId="47" fillId="0" borderId="108" applyAlignment="1" pivotButton="0" quotePrefix="0" xfId="0">
      <alignment horizontal="center" vertical="center"/>
    </xf>
    <xf numFmtId="166" fontId="0" fillId="0" borderId="108" applyAlignment="1" pivotButton="0" quotePrefix="0" xfId="2">
      <alignment horizontal="right" vertical="center"/>
    </xf>
    <xf numFmtId="166" fontId="15" fillId="0" borderId="108" applyAlignment="1" pivotButton="0" quotePrefix="0" xfId="2">
      <alignment horizontal="right" vertical="center"/>
    </xf>
    <xf numFmtId="166" fontId="7" fillId="0" borderId="108" applyAlignment="1" pivotButton="0" quotePrefix="0" xfId="2">
      <alignment horizontal="right" vertical="center"/>
    </xf>
    <xf numFmtId="166" fontId="45" fillId="0" borderId="108" applyAlignment="1" pivotButton="0" quotePrefix="0" xfId="2">
      <alignment horizontal="right" vertical="center"/>
    </xf>
    <xf numFmtId="165" fontId="47" fillId="0" borderId="108" applyAlignment="1" pivotButton="0" quotePrefix="0" xfId="0">
      <alignment horizontal="center" vertical="center"/>
    </xf>
    <xf numFmtId="165" fontId="0" fillId="16" borderId="115" applyAlignment="1" pivotButton="0" quotePrefix="0" xfId="2">
      <alignment horizontal="center" vertical="center"/>
    </xf>
    <xf numFmtId="165" fontId="0" fillId="16" borderId="115" applyAlignment="1" pivotButton="0" quotePrefix="0" xfId="0">
      <alignment horizontal="right" vertical="center"/>
    </xf>
    <xf numFmtId="165" fontId="7" fillId="0" borderId="108" applyAlignment="1" pivotButton="0" quotePrefix="0" xfId="2">
      <alignment horizontal="right" vertical="center"/>
    </xf>
    <xf numFmtId="169" fontId="16" fillId="0" borderId="108" applyAlignment="1" pivotButton="0" quotePrefix="0" xfId="2">
      <alignment horizontal="right" vertical="center"/>
    </xf>
    <xf numFmtId="165" fontId="50" fillId="0" borderId="0" applyAlignment="1" pivotButton="0" quotePrefix="0" xfId="0">
      <alignment vertical="center"/>
    </xf>
    <xf numFmtId="165" fontId="10" fillId="0" borderId="108" applyAlignment="1" pivotButton="0" quotePrefix="0" xfId="2">
      <alignment horizontal="center" vertical="center"/>
    </xf>
    <xf numFmtId="165" fontId="0" fillId="0" borderId="108" applyAlignment="1" pivotButton="0" quotePrefix="0" xfId="2">
      <alignment horizontal="center" vertical="center"/>
    </xf>
    <xf numFmtId="165" fontId="16" fillId="0" borderId="109" applyAlignment="1" pivotButton="0" quotePrefix="0" xfId="2">
      <alignment horizontal="right" vertical="center"/>
    </xf>
    <xf numFmtId="165" fontId="0" fillId="0" borderId="108" applyAlignment="1" pivotButton="0" quotePrefix="0" xfId="0">
      <alignment horizontal="left" vertical="center" wrapText="1"/>
    </xf>
    <xf numFmtId="165" fontId="10" fillId="6" borderId="110" applyAlignment="1" pivotButton="0" quotePrefix="0" xfId="0">
      <alignment vertical="center" wrapText="1"/>
    </xf>
    <xf numFmtId="174" fontId="49" fillId="0" borderId="0" applyAlignment="1" pivotButton="0" quotePrefix="0" xfId="2">
      <alignment horizontal="center" vertical="center"/>
    </xf>
    <xf numFmtId="0" fontId="0" fillId="0" borderId="242" pivotButton="0" quotePrefix="0" xfId="0"/>
    <xf numFmtId="0" fontId="20" fillId="0" borderId="188" applyAlignment="1" pivotButton="0" quotePrefix="0" xfId="0">
      <alignment horizontal="left" vertical="center" wrapText="1" indent="1"/>
    </xf>
    <xf numFmtId="0" fontId="4" fillId="2" borderId="194" applyAlignment="1" pivotButton="0" quotePrefix="0" xfId="0">
      <alignment horizontal="center" vertical="center" wrapText="1"/>
    </xf>
    <xf numFmtId="0" fontId="0" fillId="0" borderId="85" pivotButton="0" quotePrefix="0" xfId="0"/>
    <xf numFmtId="0" fontId="1" fillId="0" borderId="194" applyAlignment="1" pivotButton="0" quotePrefix="0" xfId="0">
      <alignment horizontal="center" vertical="center" wrapText="1"/>
    </xf>
    <xf numFmtId="0" fontId="0" fillId="0" borderId="184" pivotButton="0" quotePrefix="0" xfId="0"/>
    <xf numFmtId="0" fontId="0" fillId="0" borderId="183" pivotButton="0" quotePrefix="0" xfId="0"/>
    <xf numFmtId="0" fontId="1" fillId="0" borderId="197" applyAlignment="1" pivotButton="0" quotePrefix="0" xfId="0">
      <alignment horizontal="center" vertical="center" wrapText="1"/>
    </xf>
    <xf numFmtId="0" fontId="0" fillId="0" borderId="91" pivotButton="0" quotePrefix="0" xfId="0"/>
    <xf numFmtId="0" fontId="0" fillId="0" borderId="208" pivotButton="0" quotePrefix="0" xfId="0"/>
    <xf numFmtId="0" fontId="0" fillId="0" borderId="209" pivotButton="0" quotePrefix="0" xfId="0"/>
    <xf numFmtId="0" fontId="0" fillId="0" borderId="210" pivotButton="0" quotePrefix="0" xfId="0"/>
    <xf numFmtId="0" fontId="2" fillId="2" borderId="198" applyAlignment="1" pivotButton="0" quotePrefix="0" xfId="0">
      <alignment horizontal="center" vertical="center" wrapText="1"/>
    </xf>
    <xf numFmtId="0" fontId="0" fillId="0" borderId="87" pivotButton="0" quotePrefix="0" xfId="0"/>
    <xf numFmtId="0" fontId="1" fillId="0" borderId="198" applyAlignment="1" pivotButton="0" quotePrefix="0" xfId="0">
      <alignment horizontal="center" vertical="center" wrapText="1"/>
    </xf>
    <xf numFmtId="0" fontId="5" fillId="0" borderId="237" applyAlignment="1" pivotButton="0" quotePrefix="0" xfId="0">
      <alignment horizontal="center" vertical="center"/>
    </xf>
    <xf numFmtId="0" fontId="0" fillId="0" borderId="78" pivotButton="0" quotePrefix="0" xfId="0"/>
    <xf numFmtId="0" fontId="0" fillId="0" borderId="149" pivotButton="0" quotePrefix="0" xfId="0"/>
    <xf numFmtId="0" fontId="1" fillId="0" borderId="193" applyAlignment="1" pivotButton="0" quotePrefix="0" xfId="0">
      <alignment horizontal="center" vertical="center" wrapText="1"/>
    </xf>
    <xf numFmtId="0" fontId="0" fillId="0" borderId="89" pivotButton="0" quotePrefix="0" xfId="0"/>
    <xf numFmtId="0" fontId="0" fillId="0" borderId="148" pivotButton="0" quotePrefix="0" xfId="0"/>
    <xf numFmtId="166" fontId="0" fillId="0" borderId="0" pivotButton="0" quotePrefix="0" xfId="2"/>
    <xf numFmtId="164" fontId="19" fillId="0" borderId="0" applyAlignment="1" pivotButton="0" quotePrefix="0" xfId="0">
      <alignment horizontal="center" vertical="center" wrapText="1"/>
    </xf>
    <xf numFmtId="0" fontId="5" fillId="0" borderId="169" applyAlignment="1" pivotButton="0" quotePrefix="0" xfId="0">
      <alignment horizontal="center" vertical="center"/>
    </xf>
    <xf numFmtId="0" fontId="0" fillId="0" borderId="92" pivotButton="0" quotePrefix="0" xfId="0"/>
    <xf numFmtId="166" fontId="2" fillId="2" borderId="147" applyAlignment="1" pivotButton="0" quotePrefix="0" xfId="2">
      <alignment horizontal="center" vertical="center" wrapText="1"/>
    </xf>
    <xf numFmtId="166" fontId="1" fillId="0" borderId="0" applyAlignment="1" pivotButton="0" quotePrefix="0" xfId="2">
      <alignment horizontal="center" vertical="center" wrapText="1"/>
    </xf>
    <xf numFmtId="166" fontId="0" fillId="0" borderId="0" applyAlignment="1" pivotButton="0" quotePrefix="0" xfId="2">
      <alignment horizontal="center"/>
    </xf>
    <xf numFmtId="0" fontId="5" fillId="0" borderId="239" applyAlignment="1" pivotButton="0" quotePrefix="0" xfId="0">
      <alignment horizontal="center" vertical="center"/>
    </xf>
    <xf numFmtId="0" fontId="0" fillId="0" borderId="173" pivotButton="0" quotePrefix="0" xfId="0"/>
    <xf numFmtId="164" fontId="18" fillId="0" borderId="0" applyAlignment="1" pivotButton="0" quotePrefix="0" xfId="0">
      <alignment horizontal="center" vertical="center" wrapText="1"/>
    </xf>
    <xf numFmtId="164" fontId="22" fillId="0" borderId="147" applyAlignment="1" pivotButton="0" quotePrefix="0" xfId="0">
      <alignment horizontal="center" vertical="center" wrapText="1"/>
    </xf>
    <xf numFmtId="0" fontId="0" fillId="0" borderId="74" pivotButton="0" quotePrefix="0" xfId="0"/>
    <xf numFmtId="0" fontId="1" fillId="0" borderId="223" applyAlignment="1" pivotButton="0" quotePrefix="0" xfId="0">
      <alignment horizontal="center" vertical="center" wrapText="1"/>
    </xf>
    <xf numFmtId="0" fontId="0" fillId="0" borderId="83" pivotButton="0" quotePrefix="0" xfId="0"/>
    <xf numFmtId="0" fontId="2" fillId="3" borderId="221" applyAlignment="1" pivotButton="0" quotePrefix="0" xfId="0">
      <alignment horizontal="center" vertical="center" wrapText="1"/>
    </xf>
    <xf numFmtId="0" fontId="0" fillId="0" borderId="81" pivotButton="0" quotePrefix="0" xfId="0"/>
    <xf numFmtId="0" fontId="1" fillId="0" borderId="221" applyAlignment="1" pivotButton="0" quotePrefix="0" xfId="0">
      <alignment horizontal="center" vertical="center" wrapText="1"/>
    </xf>
    <xf numFmtId="166" fontId="1" fillId="0" borderId="0" applyAlignment="1" pivotButton="0" quotePrefix="0" xfId="2">
      <alignment vertical="center" wrapText="1"/>
    </xf>
    <xf numFmtId="0" fontId="1" fillId="0" borderId="211" applyAlignment="1" pivotButton="0" quotePrefix="0" xfId="0">
      <alignment horizontal="center" vertical="center" wrapText="1"/>
    </xf>
    <xf numFmtId="0" fontId="0" fillId="0" borderId="106" pivotButton="0" quotePrefix="0" xfId="0"/>
    <xf numFmtId="0" fontId="2" fillId="3" borderId="243" applyAlignment="1" pivotButton="0" quotePrefix="0" xfId="0">
      <alignment horizontal="center" vertical="center" wrapText="1"/>
    </xf>
    <xf numFmtId="0" fontId="0" fillId="0" borderId="96" pivotButton="0" quotePrefix="0" xfId="0"/>
    <xf numFmtId="0" fontId="5" fillId="0" borderId="245" applyAlignment="1" pivotButton="0" quotePrefix="0" xfId="0">
      <alignment horizontal="center" vertical="center"/>
    </xf>
    <xf numFmtId="0" fontId="0" fillId="0" borderId="38" pivotButton="0" quotePrefix="0" xfId="0"/>
    <xf numFmtId="0" fontId="0" fillId="0" borderId="39" pivotButton="0" quotePrefix="0" xfId="0"/>
    <xf numFmtId="0" fontId="1" fillId="0" borderId="243" applyAlignment="1" pivotButton="0" quotePrefix="0" xfId="0">
      <alignment horizontal="center" vertical="center" wrapText="1"/>
    </xf>
    <xf numFmtId="0" fontId="5" fillId="0" borderId="247" applyAlignment="1" pivotButton="0" quotePrefix="0" xfId="0">
      <alignment horizontal="center" vertical="center"/>
    </xf>
    <xf numFmtId="0" fontId="0" fillId="0" borderId="168" pivotButton="0" quotePrefix="0" xfId="0"/>
    <xf numFmtId="0" fontId="0" fillId="0" borderId="41" pivotButton="0" quotePrefix="0" xfId="0"/>
    <xf numFmtId="0" fontId="1" fillId="0" borderId="217" applyAlignment="1" pivotButton="0" quotePrefix="0" xfId="0">
      <alignment horizontal="center" vertical="center" wrapText="1"/>
    </xf>
    <xf numFmtId="0" fontId="0" fillId="0" borderId="143" pivotButton="0" quotePrefix="0" xfId="0"/>
    <xf numFmtId="0" fontId="2" fillId="13" borderId="205" applyAlignment="1" pivotButton="0" quotePrefix="0" xfId="0">
      <alignment horizontal="center" vertical="center" wrapText="1"/>
    </xf>
    <xf numFmtId="0" fontId="0" fillId="0" borderId="71" pivotButton="0" quotePrefix="0" xfId="0"/>
    <xf numFmtId="164" fontId="18" fillId="0" borderId="27" applyAlignment="1" pivotButton="0" quotePrefix="0" xfId="0">
      <alignment horizontal="center" vertical="center" wrapText="1"/>
    </xf>
    <xf numFmtId="164" fontId="18" fillId="0" borderId="28" applyAlignment="1" pivotButton="0" quotePrefix="0" xfId="0">
      <alignment horizontal="center" vertical="center" wrapText="1"/>
    </xf>
    <xf numFmtId="0" fontId="1" fillId="0" borderId="205" applyAlignment="1" pivotButton="0" quotePrefix="0" xfId="0">
      <alignment horizontal="center" vertical="center" wrapText="1"/>
    </xf>
    <xf numFmtId="0" fontId="5" fillId="0" borderId="228" applyAlignment="1" pivotButton="0" quotePrefix="0" xfId="0">
      <alignment horizontal="center" vertical="center"/>
    </xf>
    <xf numFmtId="0" fontId="1" fillId="0" borderId="202" applyAlignment="1" pivotButton="0" quotePrefix="0" xfId="0">
      <alignment horizontal="center" vertical="center" wrapText="1"/>
    </xf>
    <xf numFmtId="0" fontId="0" fillId="0" borderId="123" pivotButton="0" quotePrefix="0" xfId="0"/>
    <xf numFmtId="0" fontId="2" fillId="4" borderId="200" applyAlignment="1" pivotButton="0" quotePrefix="0" xfId="0">
      <alignment horizontal="center" vertical="center" wrapText="1"/>
    </xf>
    <xf numFmtId="0" fontId="0" fillId="0" borderId="121" pivotButton="0" quotePrefix="0" xfId="0"/>
    <xf numFmtId="168" fontId="0" fillId="0" borderId="0" pivotButton="0" quotePrefix="0" xfId="1"/>
    <xf numFmtId="0" fontId="1" fillId="0" borderId="200" applyAlignment="1" pivotButton="0" quotePrefix="0" xfId="0">
      <alignment horizontal="center" vertical="center" wrapText="1"/>
    </xf>
    <xf numFmtId="0" fontId="0" fillId="0" borderId="68" pivotButton="0" quotePrefix="0" xfId="0"/>
    <xf numFmtId="0" fontId="0" fillId="0" borderId="69" pivotButton="0" quotePrefix="0" xfId="0"/>
    <xf numFmtId="0" fontId="2" fillId="11" borderId="213" applyAlignment="1" pivotButton="0" quotePrefix="0" xfId="0">
      <alignment horizontal="center" vertical="center" wrapText="1"/>
    </xf>
    <xf numFmtId="3" fontId="22" fillId="0" borderId="213" applyAlignment="1" pivotButton="0" quotePrefix="0" xfId="0">
      <alignment horizontal="center" vertical="center" wrapText="1"/>
    </xf>
    <xf numFmtId="0" fontId="0" fillId="0" borderId="102" pivotButton="0" quotePrefix="0" xfId="0"/>
    <xf numFmtId="0" fontId="0" fillId="0" borderId="181" pivotButton="0" quotePrefix="0" xfId="0"/>
    <xf numFmtId="0" fontId="1" fillId="0" borderId="219" applyAlignment="1" pivotButton="0" quotePrefix="0" xfId="0">
      <alignment horizontal="center" vertical="center" wrapText="1"/>
    </xf>
    <xf numFmtId="0" fontId="0" fillId="0" borderId="127" pivotButton="0" quotePrefix="0" xfId="0"/>
    <xf numFmtId="0" fontId="2" fillId="4" borderId="224" applyAlignment="1" pivotButton="0" quotePrefix="0" xfId="0">
      <alignment horizontal="center" vertical="center" wrapText="1"/>
    </xf>
    <xf numFmtId="0" fontId="0" fillId="0" borderId="125" pivotButton="0" quotePrefix="0" xfId="0"/>
    <xf numFmtId="0" fontId="1" fillId="0" borderId="224" applyAlignment="1" pivotButton="0" quotePrefix="0" xfId="0">
      <alignment horizontal="center" vertical="center" wrapText="1"/>
    </xf>
    <xf numFmtId="0" fontId="0" fillId="0" borderId="169" pivotButton="0" quotePrefix="0" xfId="0"/>
    <xf numFmtId="0" fontId="5" fillId="0" borderId="226" applyAlignment="1" pivotButton="0" quotePrefix="0" xfId="0">
      <alignment horizontal="center"/>
    </xf>
    <xf numFmtId="0" fontId="0" fillId="0" borderId="163" pivotButton="0" quotePrefix="0" xfId="0"/>
    <xf numFmtId="0" fontId="5" fillId="0" borderId="240" applyAlignment="1" pivotButton="0" quotePrefix="0" xfId="0">
      <alignment horizontal="center" vertical="center"/>
    </xf>
    <xf numFmtId="0" fontId="1" fillId="0" borderId="233" applyAlignment="1" pivotButton="0" quotePrefix="0" xfId="0">
      <alignment horizontal="center" vertical="center" wrapText="1"/>
    </xf>
    <xf numFmtId="0" fontId="0" fillId="0" borderId="139" pivotButton="0" quotePrefix="0" xfId="0"/>
    <xf numFmtId="0" fontId="2" fillId="5" borderId="231" applyAlignment="1" pivotButton="0" quotePrefix="0" xfId="0">
      <alignment horizontal="center" vertical="center" wrapText="1"/>
    </xf>
    <xf numFmtId="0" fontId="0" fillId="0" borderId="130" pivotButton="0" quotePrefix="0" xfId="0"/>
    <xf numFmtId="0" fontId="1" fillId="0" borderId="231" applyAlignment="1" pivotButton="0" quotePrefix="0" xfId="0">
      <alignment horizontal="center" vertical="center" wrapText="1"/>
    </xf>
    <xf numFmtId="0" fontId="5" fillId="0" borderId="229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101" pivotButton="0" quotePrefix="0" xfId="0"/>
    <xf numFmtId="167" fontId="0" fillId="0" borderId="0" pivotButton="0" quotePrefix="0" xfId="0"/>
    <xf numFmtId="0" fontId="1" fillId="0" borderId="252" applyAlignment="1" pivotButton="0" quotePrefix="0" xfId="0">
      <alignment horizontal="center" vertical="center" wrapText="1"/>
    </xf>
    <xf numFmtId="0" fontId="0" fillId="0" borderId="137" pivotButton="0" quotePrefix="0" xfId="0"/>
    <xf numFmtId="0" fontId="2" fillId="5" borderId="248" applyAlignment="1" pivotButton="0" quotePrefix="0" xfId="0">
      <alignment horizontal="center" vertical="center" wrapText="1"/>
    </xf>
    <xf numFmtId="0" fontId="0" fillId="0" borderId="129" pivotButton="0" quotePrefix="0" xfId="0"/>
    <xf numFmtId="0" fontId="5" fillId="0" borderId="235" applyAlignment="1" pivotButton="0" quotePrefix="0" xfId="0">
      <alignment horizontal="center" vertical="center"/>
    </xf>
    <xf numFmtId="0" fontId="0" fillId="0" borderId="140" pivotButton="0" quotePrefix="0" xfId="0"/>
    <xf numFmtId="0" fontId="5" fillId="0" borderId="254" applyAlignment="1" pivotButton="0" quotePrefix="0" xfId="0">
      <alignment horizontal="center" vertical="center"/>
    </xf>
    <xf numFmtId="0" fontId="0" fillId="0" borderId="132" pivotButton="0" quotePrefix="0" xfId="0"/>
    <xf numFmtId="0" fontId="0" fillId="0" borderId="133" pivotButton="0" quotePrefix="0" xfId="0"/>
    <xf numFmtId="0" fontId="1" fillId="0" borderId="248" applyAlignment="1" pivotButton="0" quotePrefix="0" xfId="0">
      <alignment horizontal="center" vertical="center" wrapText="1"/>
    </xf>
    <xf numFmtId="0" fontId="5" fillId="0" borderId="250" applyAlignment="1" pivotButton="0" quotePrefix="0" xfId="0">
      <alignment horizontal="center" vertical="center"/>
    </xf>
    <xf numFmtId="0" fontId="0" fillId="0" borderId="170" pivotButton="0" quotePrefix="0" xfId="0"/>
    <xf numFmtId="0" fontId="0" fillId="0" borderId="255" pivotButton="0" quotePrefix="0" xfId="0"/>
    <xf numFmtId="0" fontId="0" fillId="0" borderId="258" pivotButton="0" quotePrefix="0" xfId="0"/>
    <xf numFmtId="0" fontId="0" fillId="0" borderId="259" pivotButton="0" quotePrefix="0" xfId="0"/>
    <xf numFmtId="0" fontId="0" fillId="0" borderId="260" pivotButton="0" quotePrefix="0" xfId="0"/>
  </cellXfs>
  <cellStyles count="5">
    <cellStyle name="Обычный" xfId="0" builtinId="0"/>
    <cellStyle name="Процентный" xfId="1" builtinId="5"/>
    <cellStyle name="Финансовый" xfId="2" builtinId="3"/>
    <cellStyle name="Финансовый 2" xfId="3"/>
    <cellStyle name="Гиперссылка" xfId="4" builtinId="8"/>
  </cellStyles>
  <dxfs count="838">
    <dxf>
      <font>
        <color theme="0"/>
      </font>
      <fill>
        <patternFill>
          <bgColor auto="1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fgColor indexed="64"/>
          <bgColor indexed="65"/>
        </patternFill>
      </fill>
    </dxf>
    <dxf>
      <fill>
        <patternFill>
          <bgColor rgb="FFFFD998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rgb="FFFFD998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rgb="FF00B050"/>
      </font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9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9" tint="0.5999633777886288"/>
        </patternFill>
      </fill>
    </dxf>
    <dxf>
      <fill>
        <patternFill>
          <bgColor theme="9" tint="0.5999633777886288"/>
        </patternFill>
      </fill>
    </dxf>
    <dxf>
      <fill>
        <patternFill>
          <bgColor theme="9" tint="0.5999633777886288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rgb="FF00B050"/>
      </font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rgb="FF00B050"/>
      </font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solid">
          <fgColor rgb="FFDDEBF7"/>
          <bgColor rgb="FFFFFFFF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externalLink" Target="/xl/externalLinks/externalLink1.xml" Id="rId11"/><Relationship Type="http://schemas.openxmlformats.org/officeDocument/2006/relationships/externalLink" Target="/xl/externalLinks/externalLink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jpeg" Id="rId3"/><Relationship Type="http://schemas.openxmlformats.org/officeDocument/2006/relationships/image" Target="/xl/media/image4.png" Id="rId4"/><Relationship Type="http://schemas.openxmlformats.org/officeDocument/2006/relationships/image" Target="/xl/media/image5.jpeg" Id="rId5"/><Relationship Type="http://schemas.openxmlformats.org/officeDocument/2006/relationships/image" Target="/xl/media/image6.png" Id="rId6"/><Relationship Type="http://schemas.openxmlformats.org/officeDocument/2006/relationships/image" Target="/xl/media/image7.png" Id="rId7"/><Relationship Type="http://schemas.openxmlformats.org/officeDocument/2006/relationships/image" Target="/xl/media/image8.png" Id="rId8"/><Relationship Type="http://schemas.openxmlformats.org/officeDocument/2006/relationships/image" Target="/xl/media/image9.jpeg" Id="rId9"/><Relationship Type="http://schemas.openxmlformats.org/officeDocument/2006/relationships/image" Target="/xl/media/image10.png" Id="rId10"/><Relationship Type="http://schemas.openxmlformats.org/officeDocument/2006/relationships/image" Target="/xl/media/image11.png" Id="rId11"/><Relationship Type="http://schemas.openxmlformats.org/officeDocument/2006/relationships/image" Target="/xl/media/image12.png" Id="rId12"/></Relationships>
</file>

<file path=xl/drawings/drawing1.xml><?xml version="1.0" encoding="utf-8"?>
<wsDr xmlns="http://schemas.openxmlformats.org/drawingml/2006/spreadsheetDrawing">
  <twoCellAnchor editAs="oneCell">
    <from>
      <col>2</col>
      <colOff>114300</colOff>
      <row>8</row>
      <rowOff>457201</rowOff>
    </from>
    <to>
      <col>2</col>
      <colOff>4547155</colOff>
      <row>8</row>
      <rowOff>685801</rowOff>
    </to>
    <pic>
      <nvPicPr>
        <cNvPr id="14" name="Picture 1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3857625" y="5419726"/>
          <a:ext cx="4432855" cy="2286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>
    <from>
      <col>2</col>
      <colOff>152400</colOff>
      <row>2</row>
      <rowOff>53340</rowOff>
    </from>
    <to>
      <col>2</col>
      <colOff>4114800</colOff>
      <row>2</row>
      <rowOff>655320</rowOff>
    </to>
    <pic>
      <nvPicPr>
        <cNvPr id="5" name="Рисунок 1"/>
        <cNvPicPr>
          <a:picLocks xmlns:a="http://schemas.openxmlformats.org/drawingml/2006/main" noChangeAspect="1" noChangeArrowheads="1"/>
        </cNvPicPr>
      </nvPicPr>
      <blipFill rotWithShape="1">
        <a:blip xmlns:a="http://schemas.openxmlformats.org/drawingml/2006/main" xmlns:r="http://schemas.openxmlformats.org/officeDocument/2006/relationships" r:embed="rId3"/>
        <a:srcRect xmlns:a="http://schemas.openxmlformats.org/drawingml/2006/main" b="25472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322320" y="419100"/>
          <a:ext cx="3962400" cy="60198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2</col>
      <colOff>175259</colOff>
      <row>5</row>
      <rowOff>99060</rowOff>
    </from>
    <to>
      <col>2</col>
      <colOff>4134305</colOff>
      <row>5</row>
      <rowOff>971549</rowOff>
    </to>
    <pic>
      <nvPicPr>
        <cNvPr id="6" name="Рисунок 5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3345179" y="1143000"/>
          <a:ext cx="3949521" cy="86867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>
    <from>
      <col>2</col>
      <colOff>144780</colOff>
      <row>6</row>
      <rowOff>53340</rowOff>
    </from>
    <to>
      <col>2</col>
      <colOff>2392680</colOff>
      <row>6</row>
      <rowOff>480060</rowOff>
    </to>
    <pic>
      <nvPicPr>
        <cNvPr id="7" name="Рисунок 3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5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314700" y="2141220"/>
          <a:ext cx="2247900" cy="42672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2</col>
      <colOff>152400</colOff>
      <row>7</row>
      <rowOff>91441</rowOff>
    </from>
    <to>
      <col>2</col>
      <colOff>4533900</colOff>
      <row>7</row>
      <rowOff>743586</rowOff>
    </to>
    <pic>
      <nvPicPr>
        <cNvPr id="8" name="Рисунок 7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blipFill>
      <spPr>
        <a:xfrm xmlns:a="http://schemas.openxmlformats.org/drawingml/2006/main">
          <a:off x="3322320" y="2712721"/>
          <a:ext cx="4381500" cy="64262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144780</colOff>
      <row>9</row>
      <rowOff>45720</rowOff>
    </from>
    <to>
      <col>2</col>
      <colOff>2346684</colOff>
      <row>9</row>
      <rowOff>363817</rowOff>
    </to>
    <pic>
      <nvPicPr>
        <cNvPr id="9" name="Рисунок 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blipFill>
      <spPr>
        <a:xfrm xmlns:a="http://schemas.openxmlformats.org/drawingml/2006/main">
          <a:off x="3314700" y="3505200"/>
          <a:ext cx="2209524" cy="30476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152400</colOff>
      <row>10</row>
      <rowOff>99060</rowOff>
    </from>
    <to>
      <col>2</col>
      <colOff>1923827</colOff>
      <row>10</row>
      <rowOff>422870</rowOff>
    </to>
    <pic>
      <nvPicPr>
        <cNvPr id="10" name="Рисунок 9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8"/>
        <a:stretch xmlns:a="http://schemas.openxmlformats.org/drawingml/2006/main">
          <a:fillRect/>
        </a:stretch>
      </blipFill>
      <spPr>
        <a:xfrm xmlns:a="http://schemas.openxmlformats.org/drawingml/2006/main">
          <a:off x="3322320" y="3962400"/>
          <a:ext cx="1780952" cy="32381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>
    <from>
      <col>2</col>
      <colOff>137159</colOff>
      <row>12</row>
      <rowOff>68580</rowOff>
    </from>
    <to>
      <col>2</col>
      <colOff>2403720</colOff>
      <row>12</row>
      <rowOff>472440</rowOff>
    </to>
    <pic>
      <nvPicPr>
        <cNvPr id="11" name="Рисунок 10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9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307079" y="4480560"/>
          <a:ext cx="2266561" cy="40386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2</col>
      <colOff>114300</colOff>
      <row>13</row>
      <rowOff>114300</rowOff>
    </from>
    <to>
      <col>2</col>
      <colOff>2607634</colOff>
      <row>13</row>
      <rowOff>780965</rowOff>
    </to>
    <pic>
      <nvPicPr>
        <cNvPr id="12" name="Рисунок 1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0"/>
        <a:stretch xmlns:a="http://schemas.openxmlformats.org/drawingml/2006/main">
          <a:fillRect/>
        </a:stretch>
      </blipFill>
      <spPr>
        <a:xfrm xmlns:a="http://schemas.openxmlformats.org/drawingml/2006/main">
          <a:off x="3284220" y="5074920"/>
          <a:ext cx="2485714" cy="67619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144780</colOff>
      <row>3</row>
      <rowOff>45720</rowOff>
    </from>
    <to>
      <col>2</col>
      <colOff>1144780</colOff>
      <row>3</row>
      <rowOff>321945</rowOff>
    </to>
    <pic>
      <nvPicPr>
        <cNvPr id="2" name="Рисунок 1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1"/>
        <a:srcRect xmlns:a="http://schemas.openxmlformats.org/drawingml/2006/main" b="7868"/>
        <a:stretch xmlns:a="http://schemas.openxmlformats.org/drawingml/2006/main">
          <a:fillRect/>
        </a:stretch>
      </blipFill>
      <spPr>
        <a:xfrm xmlns:a="http://schemas.openxmlformats.org/drawingml/2006/main">
          <a:off x="3992880" y="1287780"/>
          <a:ext cx="1000000" cy="2895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152400</colOff>
      <row>8</row>
      <rowOff>38100</rowOff>
    </from>
    <to>
      <col>2</col>
      <colOff>1716539</colOff>
      <row>8</row>
      <rowOff>400050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2"/>
        <a:stretch xmlns:a="http://schemas.openxmlformats.org/drawingml/2006/main">
          <a:fillRect/>
        </a:stretch>
      </blipFill>
      <spPr>
        <a:xfrm xmlns:a="http://schemas.openxmlformats.org/drawingml/2006/main">
          <a:off x="3895725" y="5000625"/>
          <a:ext cx="1564139" cy="361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oneCellAnchor>
    <from>
      <col>2</col>
      <colOff>104775</colOff>
      <row>4</row>
      <rowOff>104775</rowOff>
    </from>
    <ext cx="2489524" cy="670475"/>
    <pic>
      <nvPicPr>
        <cNvPr id="13" name="Рисунок 1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3952875" y="1743075"/>
          <a:ext cx="2489524" cy="67047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/Users/aleksandr/Library/Containers/com.microsoft.Excel/Data/Documents/C:\Users\AAKvitko\Desktop\&#1063;&#1077;&#1082;-&#1083;&#1080;&#1089;&#1090;&#1099;\&#1055;&#1088;&#1080;&#1084;&#1077;&#1088;%20&#1087;&#1086;%20&#1095;&#1077;&#1082;-&#1083;&#1080;&#1089;&#1090;&#1091;%20&#1055;&#1088;&#1080;&#1074;&#1086;&#1076;&#1085;&#1072;&#1103;%20&#1090;&#1077;&#1093;&#1085;&#1080;&#1082;&#1072;.xlsx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/Users/aleksandr/Library/Containers/com.microsoft.Excel/Data/Documents/C:\Users\AAKvitko\Desktop\&#1063;&#1077;&#1082;-&#1083;&#1080;&#1089;&#1090;&#1099;\&#1055;&#1088;&#1080;&#1084;&#1077;&#1088;%20&#1087;&#1086;%20&#1095;&#1077;&#1082;-&#1083;&#1080;&#1089;&#1090;&#1091;_&#1090;&#1077;&#1089;&#1090;%20v10.1.xlsm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списки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списки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https://www.cbr.ru/key-indicators/" TargetMode="External" Id="rId1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Лист1">
    <tabColor theme="2" tint="-0.09997863704336681"/>
    <outlinePr summaryBelow="1" summaryRight="1"/>
    <pageSetUpPr/>
  </sheetPr>
  <dimension ref="A1:G20"/>
  <sheetViews>
    <sheetView topLeftCell="A10" workbookViewId="0">
      <selection activeCell="H5" sqref="H5"/>
    </sheetView>
  </sheetViews>
  <sheetFormatPr baseColWidth="10" defaultColWidth="8.83203125" defaultRowHeight="15"/>
  <cols>
    <col width="14.5" customWidth="1" min="1" max="1"/>
    <col width="46" customWidth="1" min="2" max="2"/>
    <col width="68.33203125" customWidth="1" min="3" max="3"/>
  </cols>
  <sheetData>
    <row r="1" ht="23.5" customFormat="1" customHeight="1" s="302">
      <c r="A1" s="59" t="inlineStr">
        <is>
          <t>Инструкция по заполнению Чек-листа</t>
        </is>
      </c>
      <c r="C1" s="471">
        <f>'Чек-лист'!K1</f>
        <v/>
      </c>
    </row>
    <row r="2" ht="21" customFormat="1" customHeight="1" s="307">
      <c r="A2" s="306" t="inlineStr">
        <is>
          <t>Шаг</t>
        </is>
      </c>
      <c r="B2" s="306" t="inlineStr">
        <is>
          <t>Действие</t>
        </is>
      </c>
      <c r="C2" s="306" t="inlineStr">
        <is>
          <t>Визуализация</t>
        </is>
      </c>
    </row>
    <row r="3" ht="53.5" customHeight="1">
      <c r="A3" s="305" t="n">
        <v>1</v>
      </c>
      <c r="B3" s="303" t="inlineStr">
        <is>
          <t xml:space="preserve">Нажмите на кнопку «Включить содержимое» </t>
        </is>
      </c>
      <c r="C3" s="304" t="n"/>
    </row>
    <row r="4" ht="32" customHeight="1">
      <c r="A4" s="305" t="n">
        <v>2</v>
      </c>
      <c r="B4" s="303" t="inlineStr">
        <is>
          <t>Перейдите на лист "Чек-лист"</t>
        </is>
      </c>
      <c r="C4" s="304" t="n"/>
    </row>
    <row r="5" ht="72" customHeight="1">
      <c r="A5" s="305" t="n">
        <v>3</v>
      </c>
      <c r="B5" s="303" t="inlineStr">
        <is>
          <t>Убедитесь, что модель не содержит данных от предыдущих расчетов. 
Или нажмите на кнопку "Очистить все данные"</t>
        </is>
      </c>
      <c r="C5" s="304" t="n"/>
    </row>
    <row r="6" ht="82.25" customHeight="1">
      <c r="A6" s="305" t="n">
        <v>4</v>
      </c>
      <c r="B6" s="303" t="inlineStr">
        <is>
          <t>Ответьте на вопросы, не закрашенные серым, «да» или «нет» 
Внимание! Серые ячейки не заполняются</t>
        </is>
      </c>
      <c r="C6" s="304" t="n"/>
    </row>
    <row r="7" ht="42" customHeight="1">
      <c r="A7" s="305" t="n">
        <v>5</v>
      </c>
      <c r="B7" s="303" t="inlineStr">
        <is>
          <t>Нажмите на кнопку "Создать Чек-лист"</t>
        </is>
      </c>
      <c r="C7" s="304" t="n"/>
    </row>
    <row r="8" ht="66" customHeight="1">
      <c r="A8" s="305" t="n">
        <v>6</v>
      </c>
      <c r="B8" s="303" t="inlineStr">
        <is>
          <t>Заполните все оранжевые ячейки, после заполнения они станут голубыми</t>
        </is>
      </c>
      <c r="C8" s="304" t="n"/>
    </row>
    <row r="9" ht="78" customHeight="1">
      <c r="A9" s="305" t="n">
        <v>7</v>
      </c>
      <c r="B9" s="303" t="inlineStr">
        <is>
          <t>При необходимости рассчитать эффект от сокращения сверхурочной оплаты перейти на лист "Сверхурочные" и заполнить там все голубые ячейки. Результат из двух нижних строк внести в строки 144-145 Чек-листа.</t>
        </is>
      </c>
      <c r="C9" s="304" t="n"/>
    </row>
    <row r="10" ht="32" customHeight="1">
      <c r="A10" s="305" t="n">
        <v>8</v>
      </c>
      <c r="B10" s="303" t="inlineStr">
        <is>
          <t>Перейдите на лист "Экономический эффект", чтобы увидеть результат расчета</t>
        </is>
      </c>
      <c r="C10" s="304" t="n"/>
    </row>
    <row r="11" ht="32" customHeight="1">
      <c r="A11" s="305" t="n">
        <v>9</v>
      </c>
      <c r="B11" s="303" t="inlineStr">
        <is>
          <t>Перейдите на лист "Декомпозиция ЭЭ", чтобы увидеть влияние проекта на основные элементы Дерева Целей</t>
        </is>
      </c>
      <c r="C11" s="304" t="n"/>
    </row>
    <row r="12">
      <c r="A12" s="305" t="n"/>
      <c r="B12" s="303" t="n"/>
      <c r="C12" s="304" t="n"/>
    </row>
    <row r="13" ht="48" customHeight="1">
      <c r="A13" s="305" t="inlineStr">
        <is>
          <t>доп.</t>
        </is>
      </c>
      <c r="B13" s="303" t="inlineStr">
        <is>
          <t>Если в процессе заполнения Чек-листа необходимо поменять ответы на вопросы, нажмите кнопку "Вернуться в вопросам"</t>
        </is>
      </c>
      <c r="C13" s="304" t="n"/>
      <c r="G13" t="inlineStr">
        <is>
          <t xml:space="preserve"> </t>
        </is>
      </c>
    </row>
    <row r="14" ht="80" customHeight="1">
      <c r="A14" s="305" t="inlineStr">
        <is>
          <t>доп.</t>
        </is>
      </c>
      <c r="B14" s="303" t="inlineStr">
        <is>
          <t>Если в процессе заполнения Чек-листа необходимо полностью удалить все данные, нажмите на кнопку "Очистить все данные"
Внимание! Это действие не отменить. Нужно заполнить все заново</t>
        </is>
      </c>
      <c r="C14" s="304" t="n"/>
    </row>
    <row r="15">
      <c r="B15" s="301" t="n"/>
    </row>
    <row r="16">
      <c r="B16" s="301" t="n"/>
    </row>
    <row r="17">
      <c r="B17" s="301" t="n"/>
    </row>
    <row r="18">
      <c r="B18" s="301" t="n"/>
    </row>
    <row r="19">
      <c r="B19" s="301" t="n"/>
    </row>
    <row r="20">
      <c r="B20" s="301" t="n"/>
    </row>
  </sheetData>
  <pageMargins left="0.7" right="0.7" top="0.75" bottom="0.75" header="0.3" footer="0.3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Лист31" filterMode="1">
    <tabColor rgb="FF00B050"/>
    <outlinePr summaryBelow="1" summaryRight="1"/>
    <pageSetUpPr/>
  </sheetPr>
  <dimension ref="A1:R204"/>
  <sheetViews>
    <sheetView showGridLines="0" tabSelected="1" topLeftCell="A12" zoomScaleNormal="141" zoomScaleSheetLayoutView="100" workbookViewId="0">
      <selection activeCell="G85" sqref="G85"/>
    </sheetView>
  </sheetViews>
  <sheetFormatPr baseColWidth="10" defaultColWidth="8.6640625" defaultRowHeight="14" outlineLevelRow="1"/>
  <cols>
    <col width="8.6640625" customWidth="1" style="236" min="1" max="1"/>
    <col width="6.5" customWidth="1" style="235" min="2" max="2"/>
    <col width="81" customWidth="1" style="234" min="3" max="3"/>
    <col hidden="1" outlineLevel="2" width="13.5" customWidth="1" style="235" min="4" max="4"/>
    <col outlineLevel="1" collapsed="1" width="16.5" customWidth="1" style="235" min="5" max="5"/>
    <col hidden="1" outlineLevel="2" width="8.6640625" customWidth="1" style="235" min="6" max="6"/>
    <col width="28.83203125" customWidth="1" style="236" min="7" max="7"/>
    <col outlineLevel="1" width="28.83203125" customWidth="1" style="236" min="8" max="8"/>
    <col outlineLevel="1" width="48.5" customWidth="1" style="278" min="9" max="9"/>
    <col outlineLevel="1" width="35.5" customWidth="1" style="278" min="10" max="10"/>
    <col width="51.1640625" customWidth="1" style="286" min="11" max="11"/>
    <col width="31.6640625" customWidth="1" style="290" min="12" max="12"/>
    <col width="8.6640625" customWidth="1" style="236" min="13" max="16384"/>
  </cols>
  <sheetData>
    <row r="1" ht="16" customFormat="1" customHeight="1" s="351">
      <c r="A1" s="347" t="n"/>
      <c r="B1" s="348" t="inlineStr">
        <is>
          <t>Ячейка, обязательная к заполнению ответами "да" / "нет"</t>
        </is>
      </c>
      <c r="C1" s="348" t="n"/>
      <c r="D1" s="235" t="n"/>
      <c r="E1" s="350" t="n"/>
      <c r="F1" s="235" t="n"/>
      <c r="I1" s="346" t="n"/>
      <c r="J1" s="346" t="n"/>
      <c r="K1" s="471" t="inlineStr">
        <is>
          <t>Версия 5.2</t>
        </is>
      </c>
      <c r="L1" s="352" t="n"/>
    </row>
    <row r="2" ht="16" customFormat="1" customHeight="1" s="351">
      <c r="A2" s="498" t="n"/>
      <c r="B2" s="348" t="inlineStr">
        <is>
          <t>Ячейка, обязательная к заполнению (текст или цифры)</t>
        </is>
      </c>
      <c r="C2" s="348" t="n"/>
      <c r="D2" s="235" t="n"/>
      <c r="E2" s="350" t="n"/>
      <c r="F2" s="235" t="n"/>
      <c r="I2" s="345" t="n"/>
      <c r="J2" s="345" t="n"/>
      <c r="K2" s="353" t="n"/>
      <c r="L2" s="352" t="n"/>
    </row>
    <row r="3" ht="16" customFormat="1" customHeight="1" s="351">
      <c r="A3" s="349" t="n"/>
      <c r="B3" s="348" t="inlineStr">
        <is>
          <t>Ячейка не заполняется</t>
        </is>
      </c>
      <c r="C3" s="348" t="n"/>
      <c r="D3" s="235" t="n"/>
      <c r="E3" s="350" t="n"/>
      <c r="F3" s="235" t="n"/>
      <c r="I3" s="345" t="n"/>
      <c r="J3" s="345" t="n"/>
      <c r="K3" s="353" t="n"/>
      <c r="L3" s="352" t="n"/>
    </row>
    <row r="4" outlineLevel="1" ht="40.25" customHeight="1">
      <c r="B4" s="660" t="inlineStr">
        <is>
          <t>Чек-лист показателей для оценки экономического эффекта от реализации мероприятий на оптимизируемом потоке 
(Справка о расчете экономического эффекта)</t>
        </is>
      </c>
      <c r="C4" s="661" t="n"/>
      <c r="D4" s="661" t="n"/>
      <c r="E4" s="661" t="n"/>
      <c r="F4" s="661" t="n"/>
      <c r="G4" s="661" t="n"/>
      <c r="H4" s="662" t="n"/>
      <c r="I4" s="279" t="n"/>
      <c r="J4" s="279" t="n"/>
      <c r="L4" s="236" t="n"/>
    </row>
    <row r="5" outlineLevel="1" ht="17" customHeight="1">
      <c r="B5" s="237" t="n"/>
      <c r="C5" s="321" t="inlineStr">
        <is>
          <t>Наименование предприятия</t>
        </is>
      </c>
      <c r="D5" s="322" t="n"/>
      <c r="E5" s="510" t="inlineStr">
        <is>
          <t>Эталон ред. 4</t>
        </is>
      </c>
      <c r="F5" s="663" t="n"/>
      <c r="G5" s="663" t="n"/>
      <c r="H5" s="664" t="n"/>
      <c r="L5" s="236" t="n"/>
    </row>
    <row r="6" outlineLevel="1" ht="17" customHeight="1">
      <c r="B6" s="497" t="n"/>
      <c r="C6" s="321" t="inlineStr">
        <is>
          <t>Регион</t>
        </is>
      </c>
      <c r="D6" s="322" t="n"/>
      <c r="E6" s="510" t="n"/>
      <c r="F6" s="663" t="n"/>
      <c r="G6" s="663" t="n"/>
      <c r="H6" s="664" t="n"/>
      <c r="L6" s="236" t="n"/>
    </row>
    <row r="7" outlineLevel="1" ht="17" customHeight="1">
      <c r="B7" s="313" t="n"/>
      <c r="C7" s="323" t="inlineStr">
        <is>
          <t>Наименование пилотного продукта (поток)</t>
        </is>
      </c>
      <c r="D7" s="322" t="n"/>
      <c r="E7" s="510" t="inlineStr">
        <is>
          <t>Пример расчета (модель ЭЭ v5.23, лист «Пример расчета»)</t>
        </is>
      </c>
      <c r="F7" s="663" t="n"/>
      <c r="G7" s="663" t="n"/>
      <c r="H7" s="664" t="n"/>
      <c r="I7" s="280" t="n"/>
      <c r="J7" s="280" t="n"/>
      <c r="L7" s="236" t="n"/>
    </row>
    <row r="8" outlineLevel="1" ht="17" customHeight="1">
      <c r="B8" s="314" t="n"/>
      <c r="C8" s="324" t="inlineStr">
        <is>
          <t>Доля потока в выручке</t>
        </is>
      </c>
      <c r="D8" s="322" t="n"/>
      <c r="E8" s="515" t="n"/>
      <c r="F8" s="663" t="n"/>
      <c r="G8" s="663" t="n"/>
      <c r="H8" s="664" t="n"/>
      <c r="I8" s="280" t="n"/>
      <c r="J8" s="280" t="n"/>
      <c r="L8" s="236" t="n"/>
    </row>
    <row r="9" outlineLevel="1" ht="49.5" customHeight="1">
      <c r="B9" s="314" t="n"/>
      <c r="C9" s="324" t="inlineStr">
        <is>
          <t>Численность потока</t>
        </is>
      </c>
      <c r="D9" s="322" t="n"/>
      <c r="E9" s="510" t="n"/>
      <c r="F9" s="663" t="n"/>
      <c r="G9" s="663" t="n"/>
      <c r="H9" s="664" t="n"/>
      <c r="I9" s="521" t="inlineStr">
        <is>
          <t xml:space="preserve">Общая численность персонала (на начало проекта), задействованная в производственном процессе потока. Если работа осуществляется в несколько смен, то указывается итоговая численность всех смен (при этом в скобках указать количество смен). </t>
        </is>
      </c>
      <c r="L9" s="236" t="n"/>
    </row>
    <row r="10" outlineLevel="1" ht="201" customHeight="1">
      <c r="B10" s="314" t="n"/>
      <c r="C10" s="488" t="inlineStr">
        <is>
          <t>Бизнес-контекст
(Что потерял бы бизнес в целом, если бы не реализовали проект/Что получил бизнес в целом от реализации проекта)</t>
        </is>
      </c>
      <c r="D10" s="322" t="n"/>
      <c r="E10" s="510" t="n"/>
      <c r="F10" s="663" t="n"/>
      <c r="G10" s="663" t="n"/>
      <c r="H10" s="664" t="n"/>
      <c r="I10" s="516" t="inlineStr">
        <is>
          <t>Пример:
Предприятие постоянно сталкивается со срывом производственных заказов на литые изделия из стали и чугуна, из-за чего теряет клиентов и репутацию. Производственный процесс, а также отсутствие на предприятии технолога, специалиста ОТК и слабый контроль за рабочими со стороны руководства, позволяет производить изделия в объеме не более 10 тонн в месяц.</t>
        </is>
      </c>
      <c r="L10" s="236" t="n"/>
    </row>
    <row r="11" outlineLevel="1" ht="329.5" customHeight="1">
      <c r="B11" s="487" t="n"/>
      <c r="C11" s="488" t="inlineStr">
        <is>
          <t>Проблема/Решение
(Описание главной проблемы. Главное решение. Описание оптимизированного процесса)</t>
        </is>
      </c>
      <c r="D11" s="322" t="n"/>
      <c r="E11" s="510" t="n"/>
      <c r="F11" s="663" t="n"/>
      <c r="G11" s="663" t="n"/>
      <c r="H11" s="664" t="n"/>
      <c r="I11" s="517" t="inlineStr">
        <is>
          <t>Пример:
Длительное время перемещения продукции в потоке не позволяло увеличить объем производства.Внедрили "решение по реконструкции линии":
- установили рельсовый путь вдоль цеха и сократили потери на транспортировку изделий/полуформ погрузчиком;
- установили тельфер и кантователь в конце рельсового пути для устранения узкого мета и запараллеливания работ по формовке, покраске и сборке.</t>
        </is>
      </c>
      <c r="L11" s="236" t="n"/>
    </row>
    <row r="12" outlineLevel="1" ht="136.75" customHeight="1">
      <c r="B12" s="487" t="n"/>
      <c r="C12" s="488" t="inlineStr">
        <is>
          <t>Результат и эффект
(Что получили, в каком масштабе после проекта. От чего получили эффект (сокращение затрат, сокращение ФОТ, увеличение продаж и т.п.)</t>
        </is>
      </c>
      <c r="D12" s="322" t="n"/>
      <c r="E12" s="514" t="n"/>
      <c r="F12" s="663" t="n"/>
      <c r="G12" s="663" t="n"/>
      <c r="H12" s="664" t="n"/>
      <c r="I12" s="518" t="inlineStr">
        <is>
          <t>Пример:
- сократили время на изготовление формы для литья на 30 % с 20,3 мин. до 14, 3 мин.
- сократили потери на транспортировку погрузчиком со 107 м до 50 м. для одного изделия.
Что позволило предприятию производить изделия в объеме до 40 тонн в месяц при работе в одну смену и увеличить количество заказов.</t>
        </is>
      </c>
      <c r="L12" s="236" t="n"/>
    </row>
    <row r="13" outlineLevel="1" ht="8.5" customHeight="1">
      <c r="B13" s="499" t="n"/>
      <c r="C13" s="325" t="n"/>
      <c r="D13" s="509" t="n"/>
      <c r="E13" s="665" t="n"/>
      <c r="F13" s="499" t="n"/>
      <c r="G13" s="500" t="n"/>
      <c r="H13" s="500" t="n"/>
      <c r="I13" s="288" t="n"/>
      <c r="J13" s="288" t="n"/>
      <c r="K13" s="288" t="n"/>
      <c r="L13" s="236" t="n"/>
    </row>
    <row r="14" outlineLevel="1" ht="30" customHeight="1">
      <c r="B14" s="241" t="inlineStr">
        <is>
          <t>№ п/п</t>
        </is>
      </c>
      <c r="C14" s="241" t="inlineStr">
        <is>
          <t>Наименование показателя</t>
        </is>
      </c>
      <c r="D14" s="241" t="inlineStr">
        <is>
          <t>Аббревиатура</t>
        </is>
      </c>
      <c r="E14" s="242" t="inlineStr">
        <is>
          <t>Единица измерений</t>
        </is>
      </c>
      <c r="F14" s="242" t="inlineStr">
        <is>
          <t>Фильтры</t>
        </is>
      </c>
      <c r="G14" s="242" t="inlineStr">
        <is>
          <t>Значение показателя при первичном сборе данных</t>
        </is>
      </c>
      <c r="H14" s="242" t="inlineStr">
        <is>
          <t>Значение показателя при вторичном сборе данных</t>
        </is>
      </c>
      <c r="I14" s="243" t="inlineStr">
        <is>
          <t>Комментарии для заполнения</t>
        </is>
      </c>
      <c r="J14" s="243" t="inlineStr">
        <is>
          <t>Проверка</t>
        </is>
      </c>
      <c r="K14" s="287" t="inlineStr">
        <is>
          <t>Комментарий</t>
        </is>
      </c>
      <c r="L14" s="236" t="n"/>
    </row>
    <row r="15" ht="15" customHeight="1">
      <c r="B15" s="269" t="n"/>
      <c r="C15" s="269" t="inlineStr">
        <is>
          <t>Вопрос</t>
        </is>
      </c>
      <c r="D15" s="269" t="n"/>
      <c r="E15" s="270" t="inlineStr">
        <is>
          <t>Ответ</t>
        </is>
      </c>
      <c r="F15" s="270" t="n"/>
      <c r="G15" s="270" t="inlineStr">
        <is>
          <t>Ответ</t>
        </is>
      </c>
      <c r="H15" s="270" t="n"/>
      <c r="I15" s="285" t="n"/>
      <c r="J15" s="285" t="n"/>
      <c r="K15" s="270" t="inlineStr">
        <is>
          <t>Комментарий</t>
        </is>
      </c>
    </row>
    <row r="16" outlineLevel="1">
      <c r="C16" s="239" t="n"/>
      <c r="D16" s="238" t="n"/>
      <c r="E16" s="241" t="inlineStr">
        <is>
          <t>Даты --&gt;</t>
        </is>
      </c>
      <c r="F16" s="271" t="n"/>
      <c r="G16" s="300" t="n"/>
      <c r="H16" s="300" t="n"/>
      <c r="I16" s="472" t="n"/>
      <c r="J16" s="281" t="n"/>
      <c r="K16" s="288" t="n"/>
      <c r="L16" s="272" t="n"/>
      <c r="M16" s="272" t="n"/>
      <c r="N16" s="272" t="n"/>
    </row>
    <row r="17" hidden="1" ht="30" customHeight="1">
      <c r="A17" s="236" t="n">
        <v>1</v>
      </c>
      <c r="B17" s="244" t="inlineStr">
        <is>
          <t>?</t>
        </is>
      </c>
      <c r="C17" s="245" t="inlineStr">
        <is>
          <t>Оптимизируемый поток охватывает конечный передел (не является промежуточным переделом)?</t>
        </is>
      </c>
      <c r="D17" s="230" t="n"/>
      <c r="E17" s="230" t="n"/>
      <c r="F17" s="246" t="n"/>
      <c r="G17" s="206" t="inlineStr">
        <is>
          <t>да</t>
        </is>
      </c>
      <c r="H17" s="207" t="n"/>
      <c r="I17" s="473" t="n"/>
      <c r="J17" s="310" t="n"/>
      <c r="K17" s="289" t="n"/>
    </row>
    <row r="18" hidden="1">
      <c r="B18" s="247" t="inlineStr">
        <is>
          <t>Полуфабрикаты</t>
        </is>
      </c>
      <c r="C18" s="248" t="n"/>
      <c r="D18" s="232" t="n"/>
      <c r="E18" s="232" t="n"/>
      <c r="F18" s="244" t="n"/>
      <c r="G18" s="356" t="n"/>
      <c r="H18" s="356" t="n"/>
      <c r="I18" s="473" t="n"/>
      <c r="J18" s="310" t="n"/>
      <c r="K18" s="259" t="n"/>
      <c r="L18" s="236" t="n"/>
    </row>
    <row r="19" hidden="1" ht="30" customHeight="1">
      <c r="A19" s="236" t="n">
        <v>2</v>
      </c>
      <c r="B19" s="244" t="inlineStr">
        <is>
          <t>?</t>
        </is>
      </c>
      <c r="C19" s="245" t="inlineStr">
        <is>
          <t>Можно оценить рост объема реализации готовой продукции (ГП) предприятия в результате расшивки узкого места передела в рамках проекта?</t>
        </is>
      </c>
      <c r="D19" s="230" t="n"/>
      <c r="E19" s="230" t="n"/>
      <c r="F19" s="246" t="n"/>
      <c r="G19" s="208" t="n"/>
      <c r="H19" s="207" t="n"/>
      <c r="I19" s="473" t="n"/>
      <c r="J19" s="310" t="n"/>
      <c r="K19" s="289" t="n"/>
    </row>
    <row r="20" hidden="1" ht="61.25" customHeight="1">
      <c r="B20" s="244" t="n"/>
      <c r="C20" s="249" t="inlineStr">
        <is>
          <t>Процент роста объема реализации ГП / заказов по результатм проекта (экспертная оценка РП и предприятия)</t>
        </is>
      </c>
      <c r="D20" s="246" t="n"/>
      <c r="E20" s="246" t="inlineStr">
        <is>
          <t>%</t>
        </is>
      </c>
      <c r="F20" s="233" t="n"/>
      <c r="G20" s="357" t="n"/>
      <c r="H20" s="390" t="n"/>
      <c r="I20" s="473" t="n"/>
      <c r="J20" s="310">
        <f>IF(AND(H26="",H54=""),"",IF(G23="да",IF(H20&lt;='Экономический эффект'!F22,"","ОШИБКА: процент роста реализации ГП не должен превышать процент роста производства полуфабрикатов (расчет на листе Экономический эффект)"),IF('Чек-лист'!H20&lt;='Экономический эффект'!F51,"","ОШИБКА: процент роста реализации ГП/заказов не должен превышать процент роста выработки полуфабрикатов (расчет на листе Экономический эффект)")))</f>
        <v/>
      </c>
      <c r="K20" s="254" t="inlineStr">
        <is>
          <t>Оценивается ГП, для которой продукция оптимизируемого потока является полуфабрикатом</t>
        </is>
      </c>
      <c r="L20" s="236" t="n"/>
    </row>
    <row r="21" hidden="1" ht="30" customHeight="1">
      <c r="B21" s="244" t="n"/>
      <c r="C21" s="249" t="inlineStr">
        <is>
          <t>Выручка за год от реализации ГП / заказов, для которых продукция оптимизируемого потока является полуфабрикатом (без НДС)</t>
        </is>
      </c>
      <c r="D21" s="246" t="n"/>
      <c r="E21" s="246" t="inlineStr">
        <is>
          <t>рубли</t>
        </is>
      </c>
      <c r="F21" s="233" t="n"/>
      <c r="G21" s="228" t="n"/>
      <c r="H21" s="358" t="n"/>
      <c r="I21" s="473" t="n"/>
      <c r="J21" s="310" t="n"/>
      <c r="K21" s="254" t="n"/>
      <c r="L21" s="236" t="n"/>
    </row>
    <row r="22" hidden="1" ht="27.5" customHeight="1">
      <c r="B22" s="244" t="n"/>
      <c r="C22" s="249" t="inlineStr">
        <is>
          <t>Переменные затраты за год на производство ГП / заказов, для которых продукция оптимизируемого потока является полуфабрикатом (без НДС)</t>
        </is>
      </c>
      <c r="D22" s="246" t="n"/>
      <c r="E22" s="246" t="inlineStr">
        <is>
          <t>рубли</t>
        </is>
      </c>
      <c r="F22" s="233" t="n"/>
      <c r="G22" s="228" t="n"/>
      <c r="H22" s="358" t="n"/>
      <c r="I22" s="473" t="n"/>
      <c r="J22" s="310">
        <f>IF(G23="","",IF(G23="да",IF(G22="","",IF(G22&gt;'Экономический эффект'!E24,"","ОШИБКА: переменные затраты на полуфабрикаты (расчет на листе Экономический эффект) не могут превышать переменные затраты на ГП")),IF(G22="","",IF(G22&gt;'Экономический эффект'!E52,"","ОШИБКА: переменные затраты на полуфабрикаты (расчет на листе Экономический эффект) не могут превышать переменные затраты на готовые заказы"))))</f>
        <v/>
      </c>
      <c r="K22" s="254" t="n"/>
      <c r="L22" s="236" t="n"/>
    </row>
    <row r="23" hidden="1" ht="30" customHeight="1">
      <c r="A23" s="236" t="n">
        <v>3</v>
      </c>
      <c r="B23" s="244" t="inlineStr">
        <is>
          <t>?</t>
        </is>
      </c>
      <c r="C23" s="245" t="inlineStr">
        <is>
          <t>Продукция передела (оптимизируемого потока) является серийной?</t>
        </is>
      </c>
      <c r="D23" s="230" t="n"/>
      <c r="E23" s="230" t="n"/>
      <c r="F23" s="244" t="n"/>
      <c r="G23" s="206" t="n"/>
      <c r="H23" s="207" t="n"/>
      <c r="I23" s="473" t="n"/>
      <c r="J23" s="310" t="n"/>
      <c r="K23" s="289" t="inlineStr">
        <is>
          <t>Если продукция серийная - ответ "да", если уникальная (позаказное производство) - ответ "нет"</t>
        </is>
      </c>
    </row>
    <row r="24" hidden="1">
      <c r="B24" s="247" t="inlineStr">
        <is>
          <t>Переменные затраты полуфабрикаты серийные</t>
        </is>
      </c>
      <c r="C24" s="248" t="n"/>
      <c r="D24" s="232" t="n"/>
      <c r="E24" s="232" t="n"/>
      <c r="F24" s="244" t="n"/>
      <c r="G24" s="356" t="n"/>
      <c r="H24" s="356" t="n"/>
      <c r="I24" s="473" t="n"/>
      <c r="J24" s="310" t="n"/>
      <c r="K24" s="259" t="n"/>
      <c r="L24" s="236" t="n"/>
    </row>
    <row r="25" hidden="1" ht="15" customHeight="1">
      <c r="B25" s="244" t="n"/>
      <c r="C25" s="250" t="inlineStr">
        <is>
          <t>Переменные затраты на производство единицы полуфабриката (без НДС)</t>
        </is>
      </c>
      <c r="D25" s="244" t="n"/>
      <c r="E25" s="253" t="n"/>
      <c r="F25" s="255" t="n"/>
      <c r="G25" s="228" t="n"/>
      <c r="H25" s="359" t="n"/>
      <c r="I25" s="473" t="n"/>
      <c r="J25" s="310" t="n"/>
      <c r="K25" s="254" t="n"/>
      <c r="L25" s="236" t="n"/>
    </row>
    <row r="26" hidden="1" ht="51.5" customHeight="1">
      <c r="B26" s="251" t="n"/>
      <c r="C26" s="250" t="inlineStr">
        <is>
          <t>Время цикла узкого места оптимизируемого потока</t>
        </is>
      </c>
      <c r="D26" s="244" t="inlineStr">
        <is>
          <t>Тцикл</t>
        </is>
      </c>
      <c r="E26" s="244" t="inlineStr">
        <is>
          <t>минуты</t>
        </is>
      </c>
      <c r="F26" s="233" t="n"/>
      <c r="G26" s="309" t="n"/>
      <c r="H26" s="309" t="n"/>
      <c r="I26" s="473" t="n"/>
      <c r="J26" s="310">
        <f>IFERROR(IF((((1/H26-1/G26)/(1/G26))&lt;H20),"ОШИБКА: рост объема реализации не может превышать рост возможностей производства полуфабритов. Уточните процент роста объема реализации",""),"")</f>
        <v/>
      </c>
      <c r="K26" s="259" t="n"/>
      <c r="L26" s="252" t="n"/>
    </row>
    <row r="27" hidden="1" ht="15" customHeight="1">
      <c r="B27" s="253" t="n"/>
      <c r="C27" s="254" t="inlineStr">
        <is>
          <t>Объем производства полуфабриката за год</t>
        </is>
      </c>
      <c r="D27" s="244" t="n"/>
      <c r="E27" s="253" t="inlineStr">
        <is>
          <t>ед.прод.</t>
        </is>
      </c>
      <c r="F27" s="255" t="n"/>
      <c r="G27" s="228" t="n"/>
      <c r="H27" s="359" t="n"/>
      <c r="I27" s="473" t="n"/>
      <c r="J27" s="310" t="n"/>
      <c r="K27" s="259" t="inlineStr"/>
      <c r="L27" s="252" t="n"/>
    </row>
    <row r="28" hidden="1" ht="15" customHeight="1">
      <c r="A28" s="236" t="n">
        <v>4</v>
      </c>
      <c r="B28" s="244" t="inlineStr">
        <is>
          <t>?</t>
        </is>
      </c>
      <c r="C28" s="245" t="inlineStr">
        <is>
          <t>Основной производственный персонал находится на сдельной системе оплаты труда?</t>
        </is>
      </c>
      <c r="D28" s="230" t="n"/>
      <c r="E28" s="230" t="n"/>
      <c r="F28" s="244" t="n"/>
      <c r="G28" s="205" t="n"/>
      <c r="H28" s="207" t="n"/>
      <c r="I28" s="473" t="n"/>
      <c r="J28" s="310" t="n"/>
      <c r="K28" s="289" t="n"/>
    </row>
    <row r="29" hidden="1" ht="15" customHeight="1">
      <c r="A29" s="236" t="n">
        <v>5</v>
      </c>
      <c r="B29" s="244" t="inlineStr">
        <is>
          <t>?</t>
        </is>
      </c>
      <c r="C29" s="245" t="inlineStr">
        <is>
          <t>В рамках проекта была снижена трудоемкость?</t>
        </is>
      </c>
      <c r="D29" s="230" t="n"/>
      <c r="E29" s="230" t="n"/>
      <c r="F29" s="246" t="n"/>
      <c r="G29" s="206" t="n"/>
      <c r="H29" s="207" t="n"/>
      <c r="I29" s="473" t="n"/>
      <c r="J29" s="310" t="n"/>
      <c r="K29" s="289" t="n"/>
    </row>
    <row r="30" hidden="1" ht="15" customHeight="1">
      <c r="A30" s="236" t="n">
        <v>6</v>
      </c>
      <c r="B30" s="400" t="n"/>
      <c r="C30" s="395" t="inlineStr">
        <is>
          <t>В рамках проекта была изменена тарифная ставка оплаты труда?</t>
        </is>
      </c>
      <c r="D30" s="230" t="n"/>
      <c r="E30" s="230" t="n"/>
      <c r="F30" s="246" t="n"/>
      <c r="G30" s="206" t="n"/>
      <c r="H30" s="207" t="n"/>
      <c r="I30" s="473" t="n"/>
      <c r="J30" s="310" t="n"/>
      <c r="K30" s="289" t="n"/>
    </row>
    <row r="31" hidden="1" ht="75" customHeight="1">
      <c r="B31" s="244" t="n"/>
      <c r="C31" s="249" t="inlineStr">
        <is>
          <t>Трудоемкость</t>
        </is>
      </c>
      <c r="D31" s="246" t="inlineStr">
        <is>
          <t>Тр</t>
        </is>
      </c>
      <c r="E31" s="246" t="inlineStr">
        <is>
          <t>нормо-час</t>
        </is>
      </c>
      <c r="F31" s="233" t="n"/>
      <c r="G31" s="228" t="n"/>
      <c r="H31" s="228" t="n"/>
      <c r="I31" s="473" t="n"/>
      <c r="J31" s="310" t="n"/>
      <c r="K31" s="254" t="inlineStr">
        <is>
          <t>Если на предприятии используется выработка, а не трудоемкость, нужно указать следующие значения:
Трудоемкость = 1
Тарифная ставка указывается в рублях на единицу полуфабриката</t>
        </is>
      </c>
      <c r="L31" s="236" t="n"/>
    </row>
    <row r="32" hidden="1" ht="60" customHeight="1">
      <c r="B32" s="244" t="n"/>
      <c r="C32" s="249" t="inlineStr">
        <is>
          <t>Тарифная ставка рабочего, осуществляющего операцию 
в проекте</t>
        </is>
      </c>
      <c r="D32" s="246" t="inlineStr">
        <is>
          <t>Стар</t>
        </is>
      </c>
      <c r="E32" s="246" t="inlineStr">
        <is>
          <t>руб./нормо-час</t>
        </is>
      </c>
      <c r="F32" s="233" t="n"/>
      <c r="G32" s="228" t="n"/>
      <c r="H32" s="228" t="n"/>
      <c r="I32" s="473" t="n"/>
      <c r="J32" s="310" t="n"/>
      <c r="K32" s="254" t="inlineStr">
        <is>
          <t>Ставка "после проекта" может отличаться от ставки "до проекта" только в результате действий РП по значительному снижению трудоемкости, что привело еще и к снижению ставки. Требует обоснования.</t>
        </is>
      </c>
      <c r="L32" s="236" t="n"/>
    </row>
    <row r="33" hidden="1" ht="15" customHeight="1">
      <c r="A33" s="236" t="n">
        <v>6</v>
      </c>
      <c r="B33" s="244" t="inlineStr">
        <is>
          <t>?</t>
        </is>
      </c>
      <c r="C33" s="245" t="inlineStr">
        <is>
          <t>В рамках проекта проведена работа по снижению затрат сырья?</t>
        </is>
      </c>
      <c r="D33" s="230" t="n"/>
      <c r="E33" s="230" t="n"/>
      <c r="F33" s="244" t="n"/>
      <c r="G33" s="206" t="n"/>
      <c r="H33" s="186" t="n"/>
      <c r="I33" s="473" t="n"/>
      <c r="J33" s="310" t="n"/>
      <c r="K33" s="326" t="n"/>
    </row>
    <row r="34" hidden="1" ht="15" customHeight="1">
      <c r="A34" s="236" t="n">
        <v>7</v>
      </c>
      <c r="B34" s="256" t="inlineStr">
        <is>
          <t>?</t>
        </is>
      </c>
      <c r="C34" s="257" t="inlineStr">
        <is>
          <t>Был ли переход на альтернативное сырье?</t>
        </is>
      </c>
      <c r="D34" s="230" t="n"/>
      <c r="E34" s="230" t="n"/>
      <c r="F34" s="244" t="n"/>
      <c r="G34" s="206" t="n"/>
      <c r="H34" s="186" t="n"/>
      <c r="I34" s="473" t="n"/>
      <c r="J34" s="310" t="n"/>
      <c r="K34" s="326" t="n"/>
    </row>
    <row r="35" hidden="1" ht="75" customHeight="1">
      <c r="B35" s="258" t="n"/>
      <c r="C35" s="259" t="inlineStr">
        <is>
          <t>Норма расхода сырья на 1 единицу полуфабриката в проекте</t>
        </is>
      </c>
      <c r="D35" s="244" t="inlineStr">
        <is>
          <t>Мр</t>
        </is>
      </c>
      <c r="E35" s="244" t="inlineStr">
        <is>
          <t>ед.изм.</t>
        </is>
      </c>
      <c r="F35" s="233" t="n"/>
      <c r="G35" s="228" t="n"/>
      <c r="H35" s="228" t="n"/>
      <c r="I35" s="473" t="n"/>
      <c r="J35" s="310" t="n"/>
      <c r="K35" s="259" t="inlineStr">
        <is>
          <t>Указывается норма расхода сырья, по которому было снижение.
При переходе на альтернатиное сырье на начало проекта укзывается норма расхода исходного сырья, на конец - итогового</t>
        </is>
      </c>
      <c r="L35" s="252" t="n"/>
    </row>
    <row r="36" hidden="1" ht="45" customHeight="1">
      <c r="B36" s="258" t="n"/>
      <c r="C36" s="259" t="inlineStr">
        <is>
          <t>Цена 1 единицы сырья в проекте (без НДС)</t>
        </is>
      </c>
      <c r="D36" s="244" t="inlineStr">
        <is>
          <t>СТмр</t>
        </is>
      </c>
      <c r="E36" s="244" t="inlineStr">
        <is>
          <t>руб./ед.изм.</t>
        </is>
      </c>
      <c r="F36" s="233" t="n"/>
      <c r="G36" s="228" t="n"/>
      <c r="H36" s="228" t="n"/>
      <c r="I36" s="473" t="n"/>
      <c r="J36" s="310" t="n"/>
      <c r="K36" s="259" t="inlineStr">
        <is>
          <t>Указывается цена сырья, по которому было снижение.
При переходе на альтернатиное сырье на начало проекта укзывается цена исходного сырья, на конец - итогового</t>
        </is>
      </c>
      <c r="L36" s="252" t="n"/>
    </row>
    <row r="37" hidden="1" ht="30" customHeight="1">
      <c r="A37" s="236" t="n">
        <v>8</v>
      </c>
      <c r="B37" s="256" t="inlineStr">
        <is>
          <t>?</t>
        </is>
      </c>
      <c r="C37" s="257" t="inlineStr">
        <is>
          <t>В рамках проекта были снижены затраты на энергоресурсы, нормируемые на единицу продукции (переменные затраты)?</t>
        </is>
      </c>
      <c r="D37" s="230" t="n"/>
      <c r="E37" s="230" t="n"/>
      <c r="F37" s="244" t="n"/>
      <c r="G37" s="206" t="n"/>
      <c r="H37" s="186" t="n"/>
      <c r="I37" s="473" t="n"/>
      <c r="J37" s="310" t="n"/>
      <c r="K37" s="326" t="n"/>
    </row>
    <row r="38" hidden="1" ht="15" customHeight="1">
      <c r="A38" s="236" t="n">
        <v>9</v>
      </c>
      <c r="B38" s="256" t="inlineStr">
        <is>
          <t>?</t>
        </is>
      </c>
      <c r="C38" s="257" t="inlineStr">
        <is>
          <t>В рамках проекта были снижены переменные затраты на электроэнергию?</t>
        </is>
      </c>
      <c r="D38" s="230" t="n"/>
      <c r="E38" s="230" t="n"/>
      <c r="F38" s="244" t="n"/>
      <c r="G38" s="206" t="n"/>
      <c r="H38" s="186" t="n"/>
      <c r="I38" s="473" t="n"/>
      <c r="J38" s="310" t="n"/>
      <c r="K38" s="326" t="n"/>
    </row>
    <row r="39" hidden="1" ht="15" customHeight="1">
      <c r="B39" s="258" t="n"/>
      <c r="C39" s="259" t="inlineStr">
        <is>
          <t>Расход электроэнергии на производство 1 единицы полуфабриката</t>
        </is>
      </c>
      <c r="D39" s="244" t="inlineStr">
        <is>
          <t>Эр</t>
        </is>
      </c>
      <c r="E39" s="244" t="inlineStr">
        <is>
          <t>кВт</t>
        </is>
      </c>
      <c r="F39" s="233" t="n"/>
      <c r="G39" s="228" t="n"/>
      <c r="H39" s="228" t="n"/>
      <c r="I39" s="473" t="n"/>
      <c r="J39" s="310" t="n"/>
      <c r="K39" s="259" t="n"/>
      <c r="L39" s="252" t="n"/>
    </row>
    <row r="40" hidden="1" ht="45" customHeight="1">
      <c r="B40" s="258" t="n"/>
      <c r="C40" s="259" t="inlineStr">
        <is>
          <t>Тариф на электроэнергию в проекте</t>
        </is>
      </c>
      <c r="D40" s="244" t="inlineStr">
        <is>
          <t>Тэр1</t>
        </is>
      </c>
      <c r="E40" s="244" t="inlineStr">
        <is>
          <t>руб./КвтЧ</t>
        </is>
      </c>
      <c r="F40" s="233" t="n"/>
      <c r="G40" s="228" t="n"/>
      <c r="H40" s="360" t="n"/>
      <c r="I40" s="473" t="n"/>
      <c r="J40" s="310" t="n"/>
      <c r="K40" s="259" t="inlineStr">
        <is>
          <t>Для исключения ценового фактора эк.эффекты рассчитываем в ценах "до проекта". Цена после не требуется. В расчетах не участвует.</t>
        </is>
      </c>
      <c r="L40" s="252" t="n"/>
    </row>
    <row r="41" hidden="1" ht="15" customHeight="1">
      <c r="A41" s="236" t="n">
        <v>10</v>
      </c>
      <c r="B41" s="256" t="inlineStr">
        <is>
          <t>?</t>
        </is>
      </c>
      <c r="C41" s="257" t="inlineStr">
        <is>
          <t>В рамках проекта были снижены переменные затраты на воду?</t>
        </is>
      </c>
      <c r="D41" s="230" t="n"/>
      <c r="E41" s="230" t="n"/>
      <c r="F41" s="244" t="n"/>
      <c r="G41" s="206" t="n"/>
      <c r="H41" s="186" t="n"/>
      <c r="I41" s="473" t="n"/>
      <c r="J41" s="310" t="n"/>
      <c r="K41" s="326" t="n"/>
    </row>
    <row r="42" hidden="1" ht="15" customHeight="1">
      <c r="B42" s="258" t="n"/>
      <c r="C42" s="259" t="inlineStr">
        <is>
          <t>Расход воды на производство 1 единицы полуфабриката</t>
        </is>
      </c>
      <c r="D42" s="244" t="inlineStr">
        <is>
          <t>Эр</t>
        </is>
      </c>
      <c r="E42" s="244" t="inlineStr">
        <is>
          <t>м3</t>
        </is>
      </c>
      <c r="F42" s="233" t="n"/>
      <c r="G42" s="228" t="n"/>
      <c r="H42" s="228" t="n"/>
      <c r="I42" s="473" t="n"/>
      <c r="J42" s="310" t="n"/>
      <c r="K42" s="259" t="n"/>
      <c r="L42" s="252" t="n"/>
    </row>
    <row r="43" hidden="1" ht="45" customHeight="1">
      <c r="B43" s="258" t="n"/>
      <c r="C43" s="259" t="inlineStr">
        <is>
          <t>Тариф на воду в проекте</t>
        </is>
      </c>
      <c r="D43" s="244" t="inlineStr">
        <is>
          <t>Тэр1</t>
        </is>
      </c>
      <c r="E43" s="244" t="inlineStr">
        <is>
          <t>руб./м3</t>
        </is>
      </c>
      <c r="F43" s="233" t="n"/>
      <c r="G43" s="228" t="n"/>
      <c r="H43" s="360" t="n"/>
      <c r="I43" s="473" t="n"/>
      <c r="J43" s="310" t="n"/>
      <c r="K43" s="259" t="inlineStr">
        <is>
          <t>Для исключения ценового фактора эк.эффекты рассчитываем в ценах "до проекта". Цена после не требуется. В расчетах не участвует.</t>
        </is>
      </c>
      <c r="L43" s="252" t="n"/>
    </row>
    <row r="44" hidden="1" ht="15" customHeight="1">
      <c r="A44" s="236" t="n">
        <v>11</v>
      </c>
      <c r="B44" s="256" t="inlineStr">
        <is>
          <t>?</t>
        </is>
      </c>
      <c r="C44" s="257" t="inlineStr">
        <is>
          <t>В рамках проекта были снижены переменные затраты на ГСМ?</t>
        </is>
      </c>
      <c r="D44" s="230" t="n"/>
      <c r="E44" s="230" t="n"/>
      <c r="F44" s="244" t="n"/>
      <c r="G44" s="206" t="n"/>
      <c r="H44" s="186" t="n"/>
      <c r="I44" s="473" t="n"/>
      <c r="J44" s="310" t="n"/>
      <c r="K44" s="326" t="n"/>
    </row>
    <row r="45" hidden="1" ht="15" customHeight="1">
      <c r="B45" s="258" t="n"/>
      <c r="C45" s="259" t="inlineStr">
        <is>
          <t>Расход ГСМ на производство 1 единицы полуфабриката</t>
        </is>
      </c>
      <c r="D45" s="244" t="inlineStr">
        <is>
          <t>Эр</t>
        </is>
      </c>
      <c r="E45" s="501" t="n"/>
      <c r="F45" s="233" t="n"/>
      <c r="G45" s="228" t="n"/>
      <c r="H45" s="228" t="n"/>
      <c r="I45" s="473" t="n"/>
      <c r="J45" s="310" t="n"/>
      <c r="K45" s="259" t="n"/>
      <c r="L45" s="252" t="n"/>
    </row>
    <row r="46" hidden="1" ht="45" customHeight="1">
      <c r="B46" s="258" t="n"/>
      <c r="C46" s="259" t="inlineStr">
        <is>
          <t>Тариф на ГСМ в проекте</t>
        </is>
      </c>
      <c r="D46" s="244" t="inlineStr">
        <is>
          <t>Тэр1</t>
        </is>
      </c>
      <c r="E46" s="244">
        <f>"руб./"&amp;E45</f>
        <v/>
      </c>
      <c r="F46" s="233" t="n"/>
      <c r="G46" s="228" t="n"/>
      <c r="H46" s="360" t="n"/>
      <c r="I46" s="473" t="n"/>
      <c r="J46" s="310" t="n"/>
      <c r="K46" s="259" t="inlineStr">
        <is>
          <t>Для исключения ценового фактора эк.эффекты рассчитываем в ценах "до проекта". Цена после не требуется. В расчетах не участвует.</t>
        </is>
      </c>
      <c r="L46" s="252" t="n"/>
    </row>
    <row r="47" hidden="1" ht="15" customHeight="1">
      <c r="A47" s="236" t="n">
        <v>12</v>
      </c>
      <c r="B47" s="256" t="inlineStr">
        <is>
          <t>?</t>
        </is>
      </c>
      <c r="C47" s="257" t="inlineStr">
        <is>
          <t>В рамках проекта были снижены переменные затраты на тепло?</t>
        </is>
      </c>
      <c r="D47" s="230" t="n"/>
      <c r="E47" s="230" t="n"/>
      <c r="F47" s="244" t="n"/>
      <c r="G47" s="206" t="n"/>
      <c r="H47" s="186" t="n"/>
      <c r="I47" s="473" t="n"/>
      <c r="J47" s="310" t="n"/>
      <c r="K47" s="326" t="n"/>
    </row>
    <row r="48" hidden="1" ht="15" customHeight="1">
      <c r="B48" s="258" t="n"/>
      <c r="C48" s="259" t="inlineStr">
        <is>
          <t>Расход тепла на производство 1 единицы полуфабриката</t>
        </is>
      </c>
      <c r="D48" s="244" t="inlineStr">
        <is>
          <t>Эр</t>
        </is>
      </c>
      <c r="E48" s="244" t="inlineStr">
        <is>
          <t>Гкал</t>
        </is>
      </c>
      <c r="F48" s="233" t="n"/>
      <c r="G48" s="228" t="n"/>
      <c r="H48" s="228" t="n"/>
      <c r="I48" s="473" t="n"/>
      <c r="J48" s="310" t="n"/>
      <c r="K48" s="259" t="n"/>
      <c r="L48" s="252" t="n"/>
    </row>
    <row r="49" hidden="1" ht="45" customHeight="1">
      <c r="B49" s="258" t="n"/>
      <c r="C49" s="259" t="inlineStr">
        <is>
          <t>Тариф на тепло в проекте</t>
        </is>
      </c>
      <c r="D49" s="244" t="inlineStr">
        <is>
          <t>Тэр1</t>
        </is>
      </c>
      <c r="E49" s="244" t="inlineStr">
        <is>
          <t>руб./Гкал</t>
        </is>
      </c>
      <c r="F49" s="233" t="n"/>
      <c r="G49" s="228" t="n"/>
      <c r="H49" s="360" t="n"/>
      <c r="I49" s="473" t="n"/>
      <c r="J49" s="310" t="n"/>
      <c r="K49" s="259" t="inlineStr">
        <is>
          <t>Для исключения ценового фактора эк.эффекты рассчитываем в ценах "до проекта". Цена после не требуется. В расчетах не участвует.</t>
        </is>
      </c>
      <c r="L49" s="252" t="n"/>
    </row>
    <row r="50" hidden="1">
      <c r="B50" s="247" t="inlineStr">
        <is>
          <t>Переменные затраты полуфабрикаты позаказ</t>
        </is>
      </c>
      <c r="C50" s="248" t="n"/>
      <c r="D50" s="232" t="n"/>
      <c r="E50" s="232" t="n"/>
      <c r="F50" s="244" t="n"/>
      <c r="G50" s="356" t="n"/>
      <c r="H50" s="356" t="n"/>
      <c r="I50" s="473" t="n"/>
      <c r="J50" s="310" t="n"/>
      <c r="K50" s="259" t="n"/>
      <c r="L50" s="236" t="n"/>
    </row>
    <row r="51" hidden="1" ht="15" customHeight="1">
      <c r="A51" s="236" t="n">
        <v>13</v>
      </c>
      <c r="B51" s="244" t="inlineStr">
        <is>
          <t>?</t>
        </is>
      </c>
      <c r="C51" s="245" t="inlineStr">
        <is>
          <t>Основной производственный персонал находится на сдельной системе оплаты труда?</t>
        </is>
      </c>
      <c r="D51" s="230" t="n"/>
      <c r="E51" s="230" t="n"/>
      <c r="F51" s="244" t="n"/>
      <c r="G51" s="205" t="n"/>
      <c r="H51" s="207" t="n"/>
      <c r="I51" s="473" t="n"/>
      <c r="J51" s="310" t="n"/>
      <c r="K51" s="289" t="n"/>
    </row>
    <row r="52" hidden="1" ht="15" customHeight="1">
      <c r="A52" s="236" t="n">
        <v>14</v>
      </c>
      <c r="B52" s="244" t="inlineStr">
        <is>
          <t>?</t>
        </is>
      </c>
      <c r="C52" s="245" t="inlineStr">
        <is>
          <t>В рамках проекта была снижена трудоемкость?</t>
        </is>
      </c>
      <c r="D52" s="230" t="n"/>
      <c r="E52" s="230" t="n"/>
      <c r="F52" s="246" t="n"/>
      <c r="G52" s="206" t="n"/>
      <c r="H52" s="207" t="n"/>
      <c r="I52" s="473" t="n"/>
      <c r="J52" s="310" t="n"/>
      <c r="K52" s="289" t="n"/>
    </row>
    <row r="53" hidden="1" ht="15" customHeight="1">
      <c r="A53" s="236" t="n">
        <v>16</v>
      </c>
      <c r="B53" s="400" t="n"/>
      <c r="C53" s="395" t="inlineStr">
        <is>
          <t>В рамках проекта была изменена тарифная ставка оплаты труда?</t>
        </is>
      </c>
      <c r="D53" s="230" t="n"/>
      <c r="E53" s="230" t="n"/>
      <c r="F53" s="246" t="n"/>
      <c r="G53" s="206" t="n"/>
      <c r="H53" s="207" t="n"/>
      <c r="I53" s="473" t="n"/>
      <c r="J53" s="310" t="n"/>
      <c r="K53" s="289" t="n"/>
    </row>
    <row r="54" hidden="1" ht="15" customHeight="1">
      <c r="B54" s="244" t="n"/>
      <c r="C54" s="249" t="inlineStr">
        <is>
          <t>Время цикла узкого места оптимизируемого потока</t>
        </is>
      </c>
      <c r="D54" s="246" t="n"/>
      <c r="E54" s="246" t="inlineStr">
        <is>
          <t>минуты</t>
        </is>
      </c>
      <c r="F54" s="233" t="n"/>
      <c r="G54" s="228" t="n"/>
      <c r="H54" s="228" t="n"/>
      <c r="I54" s="473" t="n"/>
      <c r="J54" s="310" t="n"/>
      <c r="K54" s="254" t="n"/>
      <c r="L54" s="236" t="n"/>
    </row>
    <row r="55" hidden="1" ht="75" customHeight="1">
      <c r="B55" s="244" t="n"/>
      <c r="C55" s="249" t="inlineStr">
        <is>
          <t>Трудоемкость</t>
        </is>
      </c>
      <c r="D55" s="246" t="inlineStr">
        <is>
          <t>Тр</t>
        </is>
      </c>
      <c r="E55" s="246" t="inlineStr">
        <is>
          <t>нормо-час</t>
        </is>
      </c>
      <c r="F55" s="233" t="n"/>
      <c r="G55" s="228" t="n"/>
      <c r="H55" s="228" t="n"/>
      <c r="I55" s="473" t="n"/>
      <c r="J55" s="310" t="n"/>
      <c r="K55" s="254" t="inlineStr">
        <is>
          <t>Если на предприятии используется выработка, а не трудоемкость, нужно указать следующие значения:
Трудоемкость в потоке = 1
Тарифная ставка указывается в рублях на единицу полуфабриката</t>
        </is>
      </c>
      <c r="L55" s="236" t="n"/>
    </row>
    <row r="56" hidden="1" ht="60" customHeight="1">
      <c r="B56" s="244" t="n"/>
      <c r="C56" s="249" t="inlineStr">
        <is>
          <t>Тарифная ставка рабочего, осуществляющего операцию в проекте</t>
        </is>
      </c>
      <c r="D56" s="246" t="inlineStr">
        <is>
          <t>Стар</t>
        </is>
      </c>
      <c r="E56" s="246" t="inlineStr">
        <is>
          <t>руб./нормо-час</t>
        </is>
      </c>
      <c r="F56" s="233" t="n"/>
      <c r="G56" s="228" t="n"/>
      <c r="H56" s="228" t="n"/>
      <c r="I56" s="473" t="n"/>
      <c r="J56" s="310" t="n"/>
      <c r="K56" s="254" t="inlineStr">
        <is>
          <t>Ставка "после проекта" может отличаться от ставки "до проекта" только в результате действий РП по значительному снижению трудоемкости, что привело еще и к снижению ставки. Требует обоснования.</t>
        </is>
      </c>
      <c r="L56" s="236" t="n"/>
    </row>
    <row r="57" hidden="1" ht="30" customHeight="1">
      <c r="B57" s="244" t="n"/>
      <c r="C57" s="259" t="inlineStr">
        <is>
          <t>Переменные затраты на оплату труда на производство полуфабрикатов для всех заказов в рублях за год</t>
        </is>
      </c>
      <c r="D57" s="246" t="inlineStr">
        <is>
          <t>Стар</t>
        </is>
      </c>
      <c r="E57" s="244" t="inlineStr">
        <is>
          <t>рубли</t>
        </is>
      </c>
      <c r="F57" s="233" t="n"/>
      <c r="G57" s="228" t="n"/>
      <c r="H57" s="357" t="n"/>
      <c r="I57" s="473" t="n"/>
      <c r="J57" s="310" t="n"/>
      <c r="K57" s="254" t="n"/>
      <c r="L57" s="236" t="n"/>
    </row>
    <row r="58" hidden="1" ht="15" customHeight="1">
      <c r="A58" s="236" t="n">
        <v>15</v>
      </c>
      <c r="B58" s="244" t="inlineStr">
        <is>
          <t>?</t>
        </is>
      </c>
      <c r="C58" s="245" t="inlineStr">
        <is>
          <t>В рамках проекта проведена работа по снижению затрат сырья?</t>
        </is>
      </c>
      <c r="D58" s="230" t="n"/>
      <c r="E58" s="230" t="n"/>
      <c r="F58" s="244" t="n"/>
      <c r="G58" s="206" t="n"/>
      <c r="H58" s="186" t="n"/>
      <c r="I58" s="473" t="n"/>
      <c r="J58" s="310" t="n"/>
      <c r="K58" s="326" t="n"/>
    </row>
    <row r="59" hidden="1" ht="15" customHeight="1">
      <c r="B59" s="258" t="n"/>
      <c r="C59" s="259" t="inlineStr">
        <is>
          <t>Затраты на сырье на производство полуфабрикатов для заказа в рублях</t>
        </is>
      </c>
      <c r="D59" s="244" t="n"/>
      <c r="E59" s="244" t="inlineStr">
        <is>
          <t>руб./заказ</t>
        </is>
      </c>
      <c r="F59" s="233" t="n"/>
      <c r="G59" s="228" t="n"/>
      <c r="H59" s="228" t="n"/>
      <c r="I59" s="473" t="n"/>
      <c r="J59" s="310" t="n"/>
      <c r="K59" s="259" t="inlineStr">
        <is>
          <t>На текущий заказ</t>
        </is>
      </c>
      <c r="L59" s="236" t="n"/>
    </row>
    <row r="60" hidden="1" ht="15" customHeight="1">
      <c r="A60" s="236" t="n">
        <v>16</v>
      </c>
      <c r="B60" s="244" t="inlineStr">
        <is>
          <t>?</t>
        </is>
      </c>
      <c r="C60" s="245" t="inlineStr">
        <is>
          <t>Эффект от снижения затрат сырья можем экстраполировать на все заказы?</t>
        </is>
      </c>
      <c r="D60" s="230" t="n"/>
      <c r="E60" s="230" t="n"/>
      <c r="F60" s="244" t="n"/>
      <c r="G60" s="206" t="n"/>
      <c r="H60" s="186" t="n"/>
      <c r="I60" s="473" t="n"/>
      <c r="J60" s="310" t="n"/>
      <c r="K60" s="327" t="n"/>
    </row>
    <row r="61" hidden="1" ht="30" customHeight="1">
      <c r="B61" s="258" t="n"/>
      <c r="C61" s="259" t="inlineStr">
        <is>
          <t>Переменные затраты на сырье на производство полуфабрикатов для всех заказов в рублях за год</t>
        </is>
      </c>
      <c r="D61" s="244" t="n"/>
      <c r="E61" s="244" t="inlineStr">
        <is>
          <t>рубли</t>
        </is>
      </c>
      <c r="F61" s="233" t="n"/>
      <c r="G61" s="228" t="n"/>
      <c r="H61" s="360" t="n"/>
      <c r="I61" s="473" t="n"/>
      <c r="J61" s="310" t="n"/>
      <c r="K61" s="259" t="inlineStr">
        <is>
          <t>На все заказы за год</t>
        </is>
      </c>
      <c r="L61" s="236" t="n"/>
    </row>
    <row r="62" hidden="1" ht="30" customHeight="1">
      <c r="A62" s="236" t="n">
        <v>17</v>
      </c>
      <c r="B62" s="256" t="inlineStr">
        <is>
          <t>?</t>
        </is>
      </c>
      <c r="C62" s="257" t="inlineStr">
        <is>
          <t>В рамках проекта были снижены затраты на энергоресурсы, нормируемые на единицу продукции (переменные затраты)?</t>
        </is>
      </c>
      <c r="D62" s="230" t="n"/>
      <c r="E62" s="230" t="n"/>
      <c r="F62" s="244" t="n"/>
      <c r="G62" s="206" t="n"/>
      <c r="H62" s="186" t="n"/>
      <c r="I62" s="473" t="n"/>
      <c r="J62" s="310" t="n"/>
      <c r="K62" s="326" t="n"/>
    </row>
    <row r="63" hidden="1" ht="15" customHeight="1">
      <c r="B63" s="258" t="n"/>
      <c r="C63" s="259" t="inlineStr">
        <is>
          <t>Затраты на энергоресурсы на производство полуфабрикатов для заказа в рублях</t>
        </is>
      </c>
      <c r="D63" s="244" t="n"/>
      <c r="E63" s="244" t="inlineStr">
        <is>
          <t>руб./заказ</t>
        </is>
      </c>
      <c r="F63" s="233" t="n"/>
      <c r="G63" s="228" t="n"/>
      <c r="H63" s="228" t="n"/>
      <c r="I63" s="473" t="n"/>
      <c r="J63" s="310" t="n"/>
      <c r="K63" s="259" t="inlineStr">
        <is>
          <t>На текущий заказ</t>
        </is>
      </c>
      <c r="L63" s="236" t="n"/>
    </row>
    <row r="64" hidden="1" ht="15" customHeight="1">
      <c r="A64" s="236" t="n">
        <v>18</v>
      </c>
      <c r="B64" s="244" t="inlineStr">
        <is>
          <t>?</t>
        </is>
      </c>
      <c r="C64" s="245" t="inlineStr">
        <is>
          <t>Эффект от снижения затрат на энергоресурсы можем экстраполировать на все заказы?</t>
        </is>
      </c>
      <c r="D64" s="230" t="n"/>
      <c r="E64" s="230" t="n"/>
      <c r="F64" s="244" t="n"/>
      <c r="G64" s="206" t="n"/>
      <c r="H64" s="186" t="n"/>
      <c r="I64" s="473" t="n"/>
      <c r="J64" s="310" t="n"/>
      <c r="K64" s="327" t="n"/>
    </row>
    <row r="65" hidden="1" ht="30" customHeight="1">
      <c r="B65" s="244" t="n"/>
      <c r="C65" s="259" t="inlineStr">
        <is>
          <t>Переменные затраты на энергоресурсы на производство полуфабрикатов для всех заказов в рублях за год</t>
        </is>
      </c>
      <c r="D65" s="246" t="n"/>
      <c r="E65" s="246" t="inlineStr">
        <is>
          <t>рубли</t>
        </is>
      </c>
      <c r="F65" s="233" t="n"/>
      <c r="G65" s="228" t="n"/>
      <c r="H65" s="357" t="n"/>
      <c r="I65" s="473" t="n"/>
      <c r="J65" s="310" t="n"/>
      <c r="K65" s="254" t="inlineStr">
        <is>
          <t>На все заказы за год</t>
        </is>
      </c>
      <c r="L65" s="236" t="n"/>
    </row>
    <row r="66" hidden="1">
      <c r="B66" s="247" t="inlineStr">
        <is>
          <t>Концевой цех</t>
        </is>
      </c>
      <c r="C66" s="248" t="n"/>
      <c r="D66" s="232" t="n"/>
      <c r="E66" s="232" t="n"/>
      <c r="F66" s="244" t="n"/>
      <c r="G66" s="356" t="n"/>
      <c r="H66" s="356" t="n"/>
      <c r="I66" s="473" t="n"/>
      <c r="J66" s="310" t="n"/>
      <c r="K66" s="259" t="n"/>
      <c r="L66" s="236" t="n"/>
    </row>
    <row r="67" hidden="1" ht="30" customHeight="1">
      <c r="A67" s="236" t="n">
        <v>19</v>
      </c>
      <c r="B67" s="244" t="inlineStr">
        <is>
          <t>?</t>
        </is>
      </c>
      <c r="C67" s="245" t="inlineStr">
        <is>
          <t>На оптимизируемом потоке вся ГП серийная?</t>
        </is>
      </c>
      <c r="D67" s="230" t="n"/>
      <c r="E67" s="230" t="n"/>
      <c r="F67" s="244" t="n"/>
      <c r="G67" s="206" t="inlineStr">
        <is>
          <t>да</t>
        </is>
      </c>
      <c r="H67" s="189" t="n"/>
      <c r="I67" s="473" t="n"/>
      <c r="J67" s="310" t="n"/>
      <c r="K67" s="326" t="inlineStr">
        <is>
          <t>Если продукция серийная - ответ "да", если уникальная (позаказное производство) - ответ "нет"</t>
        </is>
      </c>
    </row>
    <row r="68" hidden="1">
      <c r="B68" s="247" t="inlineStr">
        <is>
          <t>Объем производства и реализации</t>
        </is>
      </c>
      <c r="C68" s="248" t="n"/>
      <c r="D68" s="232" t="n"/>
      <c r="E68" s="232" t="n"/>
      <c r="F68" s="244" t="n"/>
      <c r="G68" s="356" t="n"/>
      <c r="H68" s="356" t="n"/>
      <c r="I68" s="473" t="n"/>
      <c r="J68" s="310" t="n"/>
      <c r="K68" s="259" t="n"/>
      <c r="L68" s="236" t="n"/>
    </row>
    <row r="69" hidden="1" ht="30" customHeight="1">
      <c r="A69" s="236" t="n">
        <v>20</v>
      </c>
      <c r="B69" s="244" t="inlineStr">
        <is>
          <t>?</t>
        </is>
      </c>
      <c r="C69" s="245" t="inlineStr">
        <is>
          <t>Превышает ли спрос на старте проекта возможности производства или существует перспектива роста спроса при увеличении объема производства?</t>
        </is>
      </c>
      <c r="D69" s="230" t="n"/>
      <c r="E69" s="230" t="n"/>
      <c r="F69" s="244" t="n"/>
      <c r="G69" s="206" t="inlineStr">
        <is>
          <t>да</t>
        </is>
      </c>
      <c r="H69" s="189" t="n"/>
      <c r="I69" s="473" t="n"/>
      <c r="J69" s="310" t="n"/>
      <c r="K69" s="326" t="n"/>
    </row>
    <row r="70" hidden="1" ht="27.5" customHeight="1">
      <c r="A70" s="236" t="n">
        <v>21</v>
      </c>
      <c r="B70" s="246" t="inlineStr">
        <is>
          <t>?</t>
        </is>
      </c>
      <c r="C70" s="245" t="inlineStr">
        <is>
          <t>Изменилась ли цена на продукцию в результате реализации проекта или выручка за счет изменения сортности продукта?</t>
        </is>
      </c>
      <c r="D70" s="230" t="n"/>
      <c r="E70" s="230" t="n"/>
      <c r="F70" s="244" t="n"/>
      <c r="G70" s="206" t="inlineStr">
        <is>
          <t>нет</t>
        </is>
      </c>
      <c r="H70" s="209" t="n"/>
      <c r="I70" s="473" t="n"/>
      <c r="J70" s="310" t="n"/>
      <c r="K70" s="326" t="inlineStr">
        <is>
          <t>Увеличился ли вес продукта более высокой категории качества (по более высокой цене)</t>
        </is>
      </c>
    </row>
    <row r="71" hidden="1" ht="15.5" customHeight="1">
      <c r="A71" s="393" t="n"/>
      <c r="B71" s="394" t="n"/>
      <c r="C71" s="395" t="inlineStr">
        <is>
          <t>На оптимизируемом потоке производится один продукт?</t>
        </is>
      </c>
      <c r="D71" s="230" t="n"/>
      <c r="E71" s="230" t="n"/>
      <c r="F71" s="244" t="n"/>
      <c r="G71" s="396" t="n"/>
      <c r="H71" s="209" t="n"/>
      <c r="I71" s="473" t="n"/>
      <c r="J71" s="310" t="n"/>
      <c r="K71" s="397" t="n"/>
    </row>
    <row r="72" hidden="1" ht="30" customHeight="1">
      <c r="B72" s="253" t="n"/>
      <c r="C72" s="250" t="inlineStr">
        <is>
          <t>Вес объема реализации основного продукта в общем объеме реализации потока (в ед.прод.)</t>
        </is>
      </c>
      <c r="D72" s="244" t="inlineStr">
        <is>
          <t>В</t>
        </is>
      </c>
      <c r="E72" s="244" t="inlineStr">
        <is>
          <t>%</t>
        </is>
      </c>
      <c r="F72" s="233" t="n"/>
      <c r="G72" s="361" t="n"/>
      <c r="H72" s="361" t="n"/>
      <c r="I72" s="473" t="n"/>
      <c r="J72" s="310" t="n"/>
      <c r="K72" s="259" t="inlineStr">
        <is>
          <t>Вес указывается для продукта в потоке. При монопродуктовом потоке вес будет 100%.</t>
        </is>
      </c>
      <c r="L72" s="252" t="n"/>
    </row>
    <row r="73" ht="15" customHeight="1">
      <c r="B73" s="253" t="n"/>
      <c r="C73" s="250" t="inlineStr">
        <is>
          <t>Единица измерения ГП</t>
        </is>
      </c>
      <c r="D73" s="244" t="n"/>
      <c r="E73" s="320" t="inlineStr">
        <is>
          <t>шт</t>
        </is>
      </c>
      <c r="F73" s="255" t="n"/>
      <c r="G73" s="357" t="n"/>
      <c r="H73" s="359" t="n"/>
      <c r="I73" s="473" t="n"/>
      <c r="J73" s="310" t="n"/>
      <c r="K73" s="259" t="inlineStr">
        <is>
          <t>Указать единицы измерения ГП</t>
        </is>
      </c>
      <c r="L73" s="252" t="n"/>
    </row>
    <row r="74" ht="59.5" customHeight="1">
      <c r="B74" s="251" t="n"/>
      <c r="C74" s="250" t="inlineStr">
        <is>
          <t>Время цикла узкого места оптимизируемого потока</t>
        </is>
      </c>
      <c r="D74" s="244" t="inlineStr">
        <is>
          <t>Тцикл</t>
        </is>
      </c>
      <c r="E74" s="244" t="inlineStr">
        <is>
          <t>минуты</t>
        </is>
      </c>
      <c r="F74" s="233" t="n"/>
      <c r="G74" s="309" t="n">
        <v>85</v>
      </c>
      <c r="H74" s="309" t="n">
        <v>60</v>
      </c>
      <c r="I74" s="473" t="n"/>
      <c r="J74" s="310">
        <f>IF(AND(G69="нет",G74&gt;G75),"ОШИБКА: если спрос меньше возможностей производства, время цикла узкого места должно быть меньше времени такта","")</f>
        <v/>
      </c>
      <c r="K74" s="259" t="n"/>
      <c r="L74" s="252" t="n"/>
    </row>
    <row r="75" ht="30" customHeight="1">
      <c r="B75" s="251" t="n"/>
      <c r="C75" s="250" t="inlineStr">
        <is>
          <t>Необходимое время такта для удовлетворения спроса</t>
        </is>
      </c>
      <c r="D75" s="244" t="inlineStr">
        <is>
          <t>Тнеобх.такт</t>
        </is>
      </c>
      <c r="E75" s="244" t="inlineStr">
        <is>
          <t>минуты</t>
        </is>
      </c>
      <c r="F75" s="233" t="n"/>
      <c r="G75" s="309" t="n">
        <v>65</v>
      </c>
      <c r="H75" s="309" t="n">
        <v>65</v>
      </c>
      <c r="I75" s="473" t="n"/>
      <c r="J75" s="310">
        <f>IF(AND(G69="да",G74&lt;G75),"ОШИБКА: если спрос больше возможностей производства, время цикла узкого места должно быть больше времени такта","")</f>
        <v/>
      </c>
      <c r="K75" s="259" t="inlineStr">
        <is>
          <t>Показатель расчитывается как доступное время, деленное на объем спроса.</t>
        </is>
      </c>
      <c r="L75" s="252" t="n"/>
    </row>
    <row r="76" hidden="1" ht="30" customHeight="1">
      <c r="A76" s="236" t="n">
        <v>24</v>
      </c>
      <c r="B76" s="400" t="n"/>
      <c r="C76" s="395" t="inlineStr">
        <is>
          <t>Доступное рабочее время за год можно представить как произведение смен в сутки на количество рабочих дней?</t>
        </is>
      </c>
      <c r="D76" s="230" t="n"/>
      <c r="E76" s="230" t="inlineStr">
        <is>
          <t>минуты</t>
        </is>
      </c>
      <c r="F76" s="244" t="n"/>
      <c r="G76" s="399" t="n"/>
      <c r="H76" s="186" t="n"/>
      <c r="I76" s="473" t="n"/>
      <c r="J76" s="310" t="n"/>
      <c r="K76" s="397" t="inlineStr">
        <is>
          <t>Если производственный персонал работает сверхурочно, ответ "нет"</t>
        </is>
      </c>
    </row>
    <row r="77" ht="60" customHeight="1">
      <c r="B77" s="251" t="n"/>
      <c r="C77" s="250" t="inlineStr">
        <is>
          <t>Фактическое время производства годной продукции (минут в год)</t>
        </is>
      </c>
      <c r="D77" s="244" t="n"/>
      <c r="E77" s="244" t="inlineStr">
        <is>
          <t>минуты</t>
        </is>
      </c>
      <c r="F77" s="233" t="n"/>
      <c r="G77" s="309" t="n">
        <v>355680</v>
      </c>
      <c r="H77" s="309" t="n">
        <v>355680</v>
      </c>
      <c r="I77" s="473" t="inlineStr">
        <is>
          <t>либо использовать по методике, доступное время * OEE, то есть, 293 544 * 0,26, а КИ тогда будет 75 343/86 530 = 0, 871</t>
        </is>
      </c>
      <c r="J77" s="310" t="n"/>
      <c r="K77" s="259" t="inlineStr">
        <is>
          <t>Варианты расчета:
1. Доступное время * ОЕЕ;
2. Фактическое время производства продукции * Коэффициент выхода годной продукции</t>
        </is>
      </c>
      <c r="L77" s="252" t="n"/>
    </row>
    <row r="78" hidden="1" ht="15" customHeight="1">
      <c r="B78" s="251" t="n"/>
      <c r="C78" s="250" t="inlineStr">
        <is>
          <t>Количество рабочих смен в сутки</t>
        </is>
      </c>
      <c r="D78" s="244" t="inlineStr">
        <is>
          <t>Кс</t>
        </is>
      </c>
      <c r="E78" s="244" t="inlineStr">
        <is>
          <t>штуки</t>
        </is>
      </c>
      <c r="F78" s="233" t="n"/>
      <c r="G78" s="228" t="n"/>
      <c r="H78" s="228" t="n"/>
      <c r="I78" s="473" t="n"/>
      <c r="J78" s="310" t="n"/>
      <c r="K78" s="259" t="n"/>
      <c r="L78" s="252" t="n"/>
    </row>
    <row r="79" hidden="1" ht="15" customHeight="1">
      <c r="B79" s="251" t="n"/>
      <c r="C79" s="250" t="inlineStr">
        <is>
          <t>Количество рабочих часов в смене</t>
        </is>
      </c>
      <c r="D79" s="244" t="inlineStr">
        <is>
          <t>Крчс</t>
        </is>
      </c>
      <c r="E79" s="244" t="inlineStr">
        <is>
          <t>часы</t>
        </is>
      </c>
      <c r="F79" s="233" t="n"/>
      <c r="G79" s="228" t="n"/>
      <c r="H79" s="228" t="n"/>
      <c r="I79" s="473" t="n"/>
      <c r="J79" s="310" t="n"/>
      <c r="K79" s="259" t="n"/>
      <c r="L79" s="252" t="n"/>
    </row>
    <row r="80" hidden="1" ht="15" customHeight="1">
      <c r="B80" s="251" t="n"/>
      <c r="C80" s="250" t="inlineStr">
        <is>
          <t>Количество рабочих дней в году</t>
        </is>
      </c>
      <c r="D80" s="244" t="inlineStr">
        <is>
          <t>Крдн</t>
        </is>
      </c>
      <c r="E80" s="328" t="inlineStr">
        <is>
          <t>дни</t>
        </is>
      </c>
      <c r="F80" s="260" t="n"/>
      <c r="G80" s="228" t="n"/>
      <c r="H80" s="228" t="n"/>
      <c r="I80" s="473" t="n"/>
      <c r="J80" s="310" t="n"/>
      <c r="K80" s="259" t="n"/>
      <c r="L80" s="252" t="n"/>
    </row>
    <row r="81" hidden="1" ht="15" customHeight="1">
      <c r="B81" s="251" t="n"/>
      <c r="C81" s="191" t="inlineStr">
        <is>
          <t>Годовой фонд рабочего времени (расчет)</t>
        </is>
      </c>
      <c r="D81" s="190">
        <f>IF(G77="",G78*G79*G80*60,G77)*IF(G72="",1,G72)</f>
        <v/>
      </c>
      <c r="E81" s="190">
        <f>IF(H77="",H78*H79*H80*60,H77)*IF(H72="",1,H72)</f>
        <v/>
      </c>
      <c r="F81" s="203" t="n"/>
      <c r="G81" s="362" t="n"/>
      <c r="H81" s="362" t="n"/>
      <c r="I81" s="473" t="n"/>
      <c r="J81" s="310" t="n"/>
      <c r="K81" s="259" t="n"/>
      <c r="L81" s="252" t="n"/>
    </row>
    <row r="82" hidden="1" ht="15" customHeight="1">
      <c r="B82" s="251" t="n"/>
      <c r="C82" s="191" t="inlineStr">
        <is>
          <t>Объем реализации (расчет)</t>
        </is>
      </c>
      <c r="D82" s="277">
        <f>IFERROR(IF(G75&lt;G74,D81/G74,D81/G75),0)</f>
        <v/>
      </c>
      <c r="E82" s="329">
        <f>IFERROR(IF(H75&lt;H74,E81/H74,E81/H75),0)</f>
        <v/>
      </c>
      <c r="F82" s="204" t="n"/>
      <c r="G82" s="362" t="n"/>
      <c r="H82" s="362" t="n"/>
      <c r="I82" s="473" t="n"/>
      <c r="J82" s="310" t="n"/>
      <c r="K82" s="259" t="n"/>
      <c r="L82" s="252" t="n"/>
    </row>
    <row r="83" hidden="1" ht="15" customHeight="1">
      <c r="B83" s="251" t="n"/>
      <c r="C83" s="191" t="inlineStr">
        <is>
          <t>Объем производства (расчет)</t>
        </is>
      </c>
      <c r="D83" s="277">
        <f>IFERROR(D81/G74,0)</f>
        <v/>
      </c>
      <c r="E83" s="329">
        <f>IFERROR(E81/H74,0)</f>
        <v/>
      </c>
      <c r="F83" s="204" t="n"/>
      <c r="G83" s="362" t="n"/>
      <c r="H83" s="362" t="n"/>
      <c r="I83" s="473" t="n"/>
      <c r="J83" s="310" t="n"/>
      <c r="K83" s="259" t="n"/>
      <c r="L83" s="252" t="n"/>
    </row>
    <row r="84" ht="112.5" customHeight="1">
      <c r="B84" s="253" t="n"/>
      <c r="C84" s="250" t="inlineStr">
        <is>
          <t>Объем реализации продукции в проекте за год</t>
        </is>
      </c>
      <c r="D84" s="244" t="n"/>
      <c r="E84" s="253">
        <f>IF(E73="","",E73)</f>
        <v/>
      </c>
      <c r="F84" s="255" t="n"/>
      <c r="G84" s="228" t="n">
        <v>4184.5</v>
      </c>
      <c r="H84" s="359" t="n">
        <v>5928</v>
      </c>
      <c r="I84" s="473">
        <f>G77/G84</f>
        <v/>
      </c>
      <c r="J84" s="310">
        <f>IF(G84="","",IFERROR(IF(OR((G84/D82-1)&gt;0.1,(G84/D82-1)&lt;-0.1),"ВНИМАНИЕ: расчетный объем реализации "&amp;TEXT('Экономический эффект'!E72,"# ##0")&amp;" отличается от указанного объёма реализации, необходимо проверить фактическое время производства годной продукции (строка 77) или время цикла узкого места (строка 74)",""),""))</f>
        <v/>
      </c>
      <c r="K84" s="259" t="n"/>
      <c r="L84" s="252" t="n"/>
    </row>
    <row r="85" ht="15" customHeight="1">
      <c r="B85" s="253" t="n"/>
      <c r="C85" s="250" t="inlineStr">
        <is>
          <t>Объем производства продукции в проекте за год</t>
        </is>
      </c>
      <c r="D85" s="244" t="n"/>
      <c r="E85" s="253">
        <f>IF(E73="","",E73)</f>
        <v/>
      </c>
      <c r="F85" s="255" t="n"/>
      <c r="G85" s="228" t="n">
        <v>4184.470588235294</v>
      </c>
      <c r="H85" s="359" t="n">
        <v>5472</v>
      </c>
      <c r="I85" s="473">
        <f>120*18</f>
        <v/>
      </c>
      <c r="J85" s="310" t="n"/>
      <c r="K85" s="259" t="inlineStr"/>
      <c r="L85" s="252" t="n"/>
    </row>
    <row r="86" hidden="1">
      <c r="B86" s="247" t="inlineStr">
        <is>
          <t>Цены ГП и Переменные затраты</t>
        </is>
      </c>
      <c r="C86" s="248" t="n"/>
      <c r="D86" s="232" t="n"/>
      <c r="E86" s="232" t="n"/>
      <c r="F86" s="244" t="n"/>
      <c r="G86" s="363" t="n"/>
      <c r="H86" s="363" t="n"/>
      <c r="I86" s="473" t="n"/>
      <c r="J86" s="310" t="n"/>
      <c r="K86" s="259" t="n"/>
      <c r="L86" s="236" t="n"/>
    </row>
    <row r="87" ht="44.5" customHeight="1">
      <c r="B87" s="251" t="n"/>
      <c r="C87" s="250" t="inlineStr">
        <is>
          <t>Цена 1 единицы готовой продукции в проекте (без НДС)</t>
        </is>
      </c>
      <c r="D87" s="244" t="inlineStr">
        <is>
          <t>Ц</t>
        </is>
      </c>
      <c r="E87" s="244">
        <f>"руб./"&amp;E73</f>
        <v/>
      </c>
      <c r="F87" s="233" t="n"/>
      <c r="G87" s="228" t="n">
        <v>7000</v>
      </c>
      <c r="H87" s="228" t="n"/>
      <c r="I87" s="473">
        <f>75343/60/12</f>
        <v/>
      </c>
      <c r="J87" s="310" t="n"/>
      <c r="K87" s="259">
        <f>IF(G70="да","Нужно отразить среднюю цену на единицу продукции с учетом изменения качества или сортности ","Для исключения ценового фактора эк.эффекты рассчитываем в ценах до проекта. Цена после не требуется. В расчетах не участвует.")</f>
        <v/>
      </c>
      <c r="L87" s="252" t="n"/>
    </row>
    <row r="88" ht="51.5" customHeight="1">
      <c r="B88" s="251" t="n"/>
      <c r="C88" s="250" t="inlineStr">
        <is>
          <t>Переменные затраты (переменная себестоимость) на 1 единицу готовой продукции в проекте (без НДС)</t>
        </is>
      </c>
      <c r="D88" s="244" t="n"/>
      <c r="E88" s="244">
        <f>"руб./"&amp;E73</f>
        <v/>
      </c>
      <c r="F88" s="233" t="n"/>
      <c r="G88" s="228" t="n">
        <v>3287.102</v>
      </c>
      <c r="H88" s="360" t="n">
        <v>3287.102</v>
      </c>
      <c r="I88" s="473">
        <f>0.072*40</f>
        <v/>
      </c>
      <c r="J88" s="310">
        <f>IF(('Экономический эффект'!E80+'Экономический эффект'!E83+'Экономический эффект'!E87)&gt;G88,"ОШИБКА: переменная с/с на единицу продукции меньше суммы ее составляющих (сырье, э/э, ФОТ). Проверьте нормы, цены, с/с","")</f>
        <v/>
      </c>
      <c r="K88" s="259" t="n"/>
      <c r="L88" s="252" t="n"/>
    </row>
    <row r="89" hidden="1" ht="15" customHeight="1">
      <c r="A89" s="236" t="n">
        <v>22</v>
      </c>
      <c r="B89" s="244" t="inlineStr">
        <is>
          <t>?</t>
        </is>
      </c>
      <c r="C89" s="245" t="inlineStr">
        <is>
          <t>В рамках проекта проведена работа по снижению затрат сырья?</t>
        </is>
      </c>
      <c r="D89" s="230" t="n"/>
      <c r="E89" s="230" t="n"/>
      <c r="F89" s="244" t="n"/>
      <c r="G89" s="187" t="inlineStr">
        <is>
          <t>да</t>
        </is>
      </c>
      <c r="H89" s="186" t="n"/>
      <c r="I89" s="473" t="n"/>
      <c r="J89" s="310" t="n"/>
      <c r="K89" s="326" t="n"/>
    </row>
    <row r="90" hidden="1" ht="15" customHeight="1">
      <c r="A90" s="236" t="n">
        <v>23</v>
      </c>
      <c r="B90" s="256" t="inlineStr">
        <is>
          <t>?</t>
        </is>
      </c>
      <c r="C90" s="257" t="inlineStr">
        <is>
          <t>Был ли переход на альтернативное сырье?</t>
        </is>
      </c>
      <c r="D90" s="230" t="n"/>
      <c r="E90" s="230" t="n"/>
      <c r="F90" s="244" t="n"/>
      <c r="G90" s="187" t="n"/>
      <c r="H90" s="186" t="n"/>
      <c r="I90" s="473" t="n"/>
      <c r="J90" s="310" t="n"/>
      <c r="K90" s="326" t="n"/>
    </row>
    <row r="91" hidden="1" ht="75" customHeight="1">
      <c r="B91" s="258" t="n"/>
      <c r="C91" s="259" t="inlineStr">
        <is>
          <t>Норма расхода сырья на 1 единицу готовой продукции в проекте</t>
        </is>
      </c>
      <c r="D91" s="244" t="inlineStr">
        <is>
          <t>Мр</t>
        </is>
      </c>
      <c r="E91" s="244" t="inlineStr">
        <is>
          <t>ед.изм.</t>
        </is>
      </c>
      <c r="F91" s="233" t="n"/>
      <c r="G91" s="229" t="n">
        <v>5</v>
      </c>
      <c r="H91" s="229" t="n">
        <v>4</v>
      </c>
      <c r="I91" s="473" t="n"/>
      <c r="J91" s="310">
        <f>IF(G91*G92&gt;G88,"ОШИБКА: затраты на сырье больше общей переменной себестоимости. Проверьте нормы, цены, с/с","")</f>
        <v/>
      </c>
      <c r="K91" s="259" t="inlineStr">
        <is>
          <t>Указывается норма расхода сырья, по которому было снижение.
При перехоле на альтернатиное сырье на начало проекта укзывается норма расхода исходного сырья, на конец - итогового</t>
        </is>
      </c>
      <c r="L91" s="252" t="n"/>
    </row>
    <row r="92" hidden="1" ht="45" customHeight="1">
      <c r="B92" s="258" t="n"/>
      <c r="C92" s="259" t="inlineStr">
        <is>
          <t>Цена 1 единицы сырья в проекте (без НДС)</t>
        </is>
      </c>
      <c r="D92" s="244" t="inlineStr">
        <is>
          <t>СТмр</t>
        </is>
      </c>
      <c r="E92" s="244" t="inlineStr">
        <is>
          <t>руб./ед.изм.</t>
        </is>
      </c>
      <c r="F92" s="233" t="n"/>
      <c r="G92" s="228" t="n">
        <v>500</v>
      </c>
      <c r="H92" s="228" t="n"/>
      <c r="I92" s="473" t="n"/>
      <c r="J92" s="310" t="n"/>
      <c r="K92" s="259" t="inlineStr">
        <is>
          <t>Указывается цена сырья, по которому было снижение.
При перехоле на альтернатиное сырье на начало проекта укзывается цена исходного сырья, на конец - итогового</t>
        </is>
      </c>
      <c r="L92" s="252" t="n"/>
    </row>
    <row r="93" hidden="1" ht="30" customHeight="1">
      <c r="A93" s="236" t="n">
        <v>24</v>
      </c>
      <c r="B93" s="256" t="inlineStr">
        <is>
          <t>?</t>
        </is>
      </c>
      <c r="C93" s="257" t="inlineStr">
        <is>
          <t>В рамках проекта были снижены затраты на энергоресурсы, нормируемые на единицу продукции (переменные затраты)?</t>
        </is>
      </c>
      <c r="D93" s="230" t="n"/>
      <c r="E93" s="230" t="n"/>
      <c r="F93" s="244" t="n"/>
      <c r="G93" s="206" t="inlineStr">
        <is>
          <t>да</t>
        </is>
      </c>
      <c r="H93" s="186" t="n"/>
      <c r="I93" s="473" t="n"/>
      <c r="J93" s="310" t="n"/>
      <c r="K93" s="326" t="n"/>
    </row>
    <row r="94" hidden="1" ht="15" customHeight="1">
      <c r="A94" s="236" t="n">
        <v>25</v>
      </c>
      <c r="B94" s="256" t="inlineStr">
        <is>
          <t>?</t>
        </is>
      </c>
      <c r="C94" s="257" t="inlineStr">
        <is>
          <t>В рамках проекта были снижены переменные затраты на электроэнергию?</t>
        </is>
      </c>
      <c r="D94" s="230" t="n"/>
      <c r="E94" s="230" t="n"/>
      <c r="F94" s="244" t="n"/>
      <c r="G94" s="206" t="n"/>
      <c r="H94" s="186" t="n"/>
      <c r="I94" s="473" t="n"/>
      <c r="J94" s="310" t="n"/>
      <c r="K94" s="326" t="n"/>
    </row>
    <row r="95" hidden="1" ht="36.5" customHeight="1">
      <c r="B95" s="258" t="n"/>
      <c r="C95" s="259" t="inlineStr">
        <is>
          <t>Расход электроэнергии на производство 1 единицы готовой продукции</t>
        </is>
      </c>
      <c r="D95" s="244" t="inlineStr">
        <is>
          <t>Эр</t>
        </is>
      </c>
      <c r="E95" s="244" t="inlineStr">
        <is>
          <t>кВт</t>
        </is>
      </c>
      <c r="F95" s="233" t="n"/>
      <c r="G95" s="229" t="n">
        <v>1.34</v>
      </c>
      <c r="H95" s="229" t="n">
        <v>1.33</v>
      </c>
      <c r="I95" s="473" t="n"/>
      <c r="J95" s="310">
        <f>IF(G95*G96&gt;G88,"ОШИБКА: затраты на э/э больше общей переменной себестоимости. Проверьте нормы, цены, с/с","")</f>
        <v/>
      </c>
      <c r="K95" s="259" t="n"/>
      <c r="L95" s="252" t="n"/>
    </row>
    <row r="96" hidden="1" ht="45" customHeight="1">
      <c r="B96" s="258" t="n"/>
      <c r="C96" s="259" t="inlineStr">
        <is>
          <t>Тариф на электроэнергию в проекте</t>
        </is>
      </c>
      <c r="D96" s="244" t="inlineStr">
        <is>
          <t>Тэр1</t>
        </is>
      </c>
      <c r="E96" s="244" t="inlineStr">
        <is>
          <t>руб./КвтЧ</t>
        </is>
      </c>
      <c r="F96" s="233" t="n"/>
      <c r="G96" s="228" t="n">
        <v>5.3</v>
      </c>
      <c r="H96" s="360" t="n"/>
      <c r="I96" s="473" t="n"/>
      <c r="J96" s="310" t="n"/>
      <c r="K96" s="259" t="inlineStr">
        <is>
          <t>Для исключения ценового фактора эк.эффекты рассчитываем в ценах "до проекта". Цена после не требуется. В расчетах не участвует.</t>
        </is>
      </c>
      <c r="L96" s="252" t="n"/>
    </row>
    <row r="97" hidden="1" ht="15" customHeight="1">
      <c r="A97" s="236" t="n">
        <v>26</v>
      </c>
      <c r="B97" s="256" t="inlineStr">
        <is>
          <t>?</t>
        </is>
      </c>
      <c r="C97" s="257" t="inlineStr">
        <is>
          <t>В рамках проекта были снижены переменные затраты на воду?</t>
        </is>
      </c>
      <c r="D97" s="230" t="n"/>
      <c r="E97" s="230" t="n"/>
      <c r="F97" s="244" t="n"/>
      <c r="G97" s="206" t="n"/>
      <c r="H97" s="186" t="n"/>
      <c r="I97" s="473" t="n"/>
      <c r="J97" s="310" t="n"/>
      <c r="K97" s="326" t="n"/>
    </row>
    <row r="98" hidden="1" ht="33.5" customHeight="1">
      <c r="B98" s="258" t="n"/>
      <c r="C98" s="259" t="inlineStr">
        <is>
          <t>Расход воды на производство 1 единицы готовой продукции</t>
        </is>
      </c>
      <c r="D98" s="244" t="inlineStr">
        <is>
          <t>Эр</t>
        </is>
      </c>
      <c r="E98" s="244" t="inlineStr">
        <is>
          <t>м3</t>
        </is>
      </c>
      <c r="F98" s="233" t="n"/>
      <c r="G98" s="229" t="n"/>
      <c r="H98" s="229" t="n"/>
      <c r="I98" s="473" t="n"/>
      <c r="J98" s="310">
        <f>IF(G98*G99&gt;G88,"ОШИБКА: затраты на воду больше общей переменной себестоимости. Проверьте нормы, цены, с/с","")</f>
        <v/>
      </c>
      <c r="K98" s="259" t="n"/>
      <c r="L98" s="252" t="n"/>
    </row>
    <row r="99" hidden="1" ht="45" customHeight="1">
      <c r="B99" s="258" t="n"/>
      <c r="C99" s="259" t="inlineStr">
        <is>
          <t>Тариф на воду в проекте</t>
        </is>
      </c>
      <c r="D99" s="244" t="inlineStr">
        <is>
          <t>Тэр1</t>
        </is>
      </c>
      <c r="E99" s="244" t="inlineStr">
        <is>
          <t>руб./м3</t>
        </is>
      </c>
      <c r="F99" s="233" t="n"/>
      <c r="G99" s="228" t="n"/>
      <c r="H99" s="360" t="n"/>
      <c r="I99" s="473" t="n"/>
      <c r="J99" s="310" t="n"/>
      <c r="K99" s="259" t="inlineStr">
        <is>
          <t>Для исключения ценового фактора эк.эффекты рассчитываем в ценах "до проекта". Цена после не требуется. В расчетах не участвует.</t>
        </is>
      </c>
      <c r="L99" s="252" t="n"/>
    </row>
    <row r="100" hidden="1" ht="15" customHeight="1">
      <c r="A100" s="236" t="n">
        <v>27</v>
      </c>
      <c r="B100" s="256" t="inlineStr">
        <is>
          <t>?</t>
        </is>
      </c>
      <c r="C100" s="257" t="inlineStr">
        <is>
          <t>В рамках проекта были снижены переменные затраты на ГСМ?</t>
        </is>
      </c>
      <c r="D100" s="230" t="n"/>
      <c r="E100" s="230" t="n"/>
      <c r="F100" s="244" t="n"/>
      <c r="G100" s="206" t="n"/>
      <c r="H100" s="186" t="n"/>
      <c r="I100" s="473" t="n"/>
      <c r="J100" s="310" t="n"/>
      <c r="K100" s="326" t="n"/>
    </row>
    <row r="101" hidden="1" ht="42.5" customHeight="1">
      <c r="B101" s="258" t="n"/>
      <c r="C101" s="259" t="inlineStr">
        <is>
          <t>Расход ГСМ на производство 1 единицы готовой продукции</t>
        </is>
      </c>
      <c r="D101" s="244" t="inlineStr">
        <is>
          <t>Эр</t>
        </is>
      </c>
      <c r="E101" s="489" t="n"/>
      <c r="F101" s="233" t="n"/>
      <c r="G101" s="229" t="n"/>
      <c r="H101" s="229" t="n"/>
      <c r="I101" s="473" t="n"/>
      <c r="J101" s="310">
        <f>IF(G101*G102&gt;G88,"ОШИБКА: затраты на газ больше общей переменной себестоимости. Проверьте нормы, цены, с/с","")</f>
        <v/>
      </c>
      <c r="K101" s="259" t="n"/>
      <c r="L101" s="252" t="n"/>
    </row>
    <row r="102" hidden="1" ht="45" customHeight="1">
      <c r="B102" s="258" t="n"/>
      <c r="C102" s="259" t="inlineStr">
        <is>
          <t>Тариф на ГСМ в проекте</t>
        </is>
      </c>
      <c r="D102" s="244" t="inlineStr">
        <is>
          <t>Тэр1</t>
        </is>
      </c>
      <c r="E102" s="244">
        <f>"руб./"&amp;E101</f>
        <v/>
      </c>
      <c r="F102" s="233" t="n"/>
      <c r="G102" s="228" t="n"/>
      <c r="H102" s="360" t="n"/>
      <c r="I102" s="473" t="n"/>
      <c r="J102" s="310" t="n"/>
      <c r="K102" s="259" t="inlineStr">
        <is>
          <t>Для исключения ценового фактора эк.эффекты рассчитываем в ценах "до проекта". Цена после не требуется. В расчетах не участвует.</t>
        </is>
      </c>
      <c r="L102" s="252" t="n"/>
    </row>
    <row r="103" hidden="1" ht="15" customHeight="1">
      <c r="A103" s="236" t="n">
        <v>28</v>
      </c>
      <c r="B103" s="256" t="inlineStr">
        <is>
          <t>?</t>
        </is>
      </c>
      <c r="C103" s="257" t="inlineStr">
        <is>
          <t>В рамках проекта были снижены переменные затраты на тепло?</t>
        </is>
      </c>
      <c r="D103" s="230" t="n"/>
      <c r="E103" s="230" t="n"/>
      <c r="F103" s="244" t="n"/>
      <c r="G103" s="206" t="n"/>
      <c r="H103" s="186" t="n"/>
      <c r="I103" s="473" t="n"/>
      <c r="J103" s="310" t="n"/>
      <c r="K103" s="326" t="n"/>
    </row>
    <row r="104" hidden="1" ht="38.5" customHeight="1">
      <c r="B104" s="258" t="n"/>
      <c r="C104" s="259" t="inlineStr">
        <is>
          <t>Расход тепла на производство 1 единицы готовой продукции</t>
        </is>
      </c>
      <c r="D104" s="244" t="inlineStr">
        <is>
          <t>Эр</t>
        </is>
      </c>
      <c r="E104" s="244" t="inlineStr">
        <is>
          <t>Гкал</t>
        </is>
      </c>
      <c r="F104" s="233" t="n"/>
      <c r="G104" s="229" t="n"/>
      <c r="H104" s="229" t="n"/>
      <c r="I104" s="473" t="n"/>
      <c r="J104" s="310">
        <f>IF(G104*G105&gt;G88,"ОШИБКА: затраты на тепло больше общей переменной себестоимости. Проверьте нормы, цены, с/с","")</f>
        <v/>
      </c>
      <c r="K104" s="259" t="n"/>
      <c r="L104" s="252" t="n"/>
    </row>
    <row r="105" hidden="1" ht="45" customHeight="1">
      <c r="B105" s="258" t="n"/>
      <c r="C105" s="259" t="inlineStr">
        <is>
          <t>Тариф на тепло в проекте</t>
        </is>
      </c>
      <c r="D105" s="244" t="inlineStr">
        <is>
          <t>Тэр1</t>
        </is>
      </c>
      <c r="E105" s="244" t="inlineStr">
        <is>
          <t>руб./Гкал</t>
        </is>
      </c>
      <c r="F105" s="233" t="n"/>
      <c r="G105" s="228" t="n"/>
      <c r="H105" s="360" t="n"/>
      <c r="I105" s="473" t="n"/>
      <c r="J105" s="310" t="n"/>
      <c r="K105" s="259" t="inlineStr">
        <is>
          <t>Для исключения ценового фактора эк.эффекты рассчитываем в ценах "до проекта". Цена после не требуется. В расчетах не участвует.</t>
        </is>
      </c>
      <c r="L105" s="252" t="n"/>
    </row>
    <row r="106" hidden="1" ht="15" customHeight="1">
      <c r="A106" s="236" t="n">
        <v>29</v>
      </c>
      <c r="B106" s="244" t="inlineStr">
        <is>
          <t>?</t>
        </is>
      </c>
      <c r="C106" s="245" t="inlineStr">
        <is>
          <t>Основной производственный персонал находится на сдельной системе оплаты труда?</t>
        </is>
      </c>
      <c r="D106" s="230" t="n"/>
      <c r="E106" s="230" t="n"/>
      <c r="F106" s="244" t="n"/>
      <c r="G106" s="205" t="inlineStr">
        <is>
          <t>да</t>
        </is>
      </c>
      <c r="H106" s="207" t="n"/>
      <c r="I106" s="473" t="n"/>
      <c r="J106" s="310" t="n"/>
      <c r="K106" s="289" t="n"/>
    </row>
    <row r="107" hidden="1" ht="15" customHeight="1">
      <c r="A107" s="236" t="n">
        <v>30</v>
      </c>
      <c r="B107" s="256" t="inlineStr">
        <is>
          <t>?</t>
        </is>
      </c>
      <c r="C107" s="257" t="inlineStr">
        <is>
          <t>В рамках проекта была снижена трудоемкость?</t>
        </is>
      </c>
      <c r="D107" s="230" t="n"/>
      <c r="E107" s="230" t="n"/>
      <c r="F107" s="244" t="n"/>
      <c r="G107" s="187" t="n"/>
      <c r="H107" s="186" t="n"/>
      <c r="I107" s="473" t="n"/>
      <c r="J107" s="310" t="n"/>
      <c r="K107" s="326" t="n"/>
    </row>
    <row r="108" hidden="1" ht="15" customHeight="1">
      <c r="A108" s="236" t="n">
        <v>31</v>
      </c>
      <c r="B108" s="256" t="inlineStr">
        <is>
          <t>?</t>
        </is>
      </c>
      <c r="C108" s="257" t="inlineStr">
        <is>
          <t>В рамках проекта была изменена тарифная ставка оплаты труда?</t>
        </is>
      </c>
      <c r="D108" s="230" t="n"/>
      <c r="E108" s="230" t="n"/>
      <c r="F108" s="244" t="n"/>
      <c r="G108" s="187" t="n"/>
      <c r="H108" s="186" t="n"/>
      <c r="I108" s="473" t="n"/>
      <c r="J108" s="310" t="n"/>
      <c r="K108" s="326" t="n"/>
    </row>
    <row r="109" hidden="1" ht="75" customHeight="1">
      <c r="B109" s="258" t="n"/>
      <c r="C109" s="259" t="inlineStr">
        <is>
          <t>Трудоемкость</t>
        </is>
      </c>
      <c r="D109" s="244" t="inlineStr">
        <is>
          <t>Тр</t>
        </is>
      </c>
      <c r="E109" s="244">
        <f>"нормо-час/"&amp;E73</f>
        <v/>
      </c>
      <c r="F109" s="233" t="n"/>
      <c r="G109" s="228" t="n">
        <v>2</v>
      </c>
      <c r="H109" s="228" t="n">
        <v>1.5</v>
      </c>
      <c r="I109" s="473" t="n"/>
      <c r="J109" s="310">
        <f>IF(G109*G110&gt;G88,"ОШИБКА: затраты на оплату труда больше общей переменной себестоимости. Проверить нормы, цены, с/с","")</f>
        <v/>
      </c>
      <c r="K109" s="259" t="inlineStr">
        <is>
          <t>Если на предприятии используется выработка, а не трудоемкость, нужно указать следующие значения:
Трудоемкость в потоке = 1
Тарифная ставка указывается в рублях на единицу продукции</t>
        </is>
      </c>
      <c r="L109" s="252" t="n"/>
    </row>
    <row r="110" hidden="1" ht="60" customHeight="1">
      <c r="B110" s="258" t="n"/>
      <c r="C110" s="259" t="inlineStr">
        <is>
          <t>Тарифная ставка рабочего, осуществляющего операцию 
в проекте</t>
        </is>
      </c>
      <c r="D110" s="244" t="inlineStr">
        <is>
          <t>Стар</t>
        </is>
      </c>
      <c r="E110" s="244" t="inlineStr">
        <is>
          <t>руб./нормо-час</t>
        </is>
      </c>
      <c r="F110" s="233" t="n"/>
      <c r="G110" s="228" t="n">
        <v>300</v>
      </c>
      <c r="H110" s="228" t="n"/>
      <c r="I110" s="473" t="n"/>
      <c r="J110" s="310" t="n"/>
      <c r="K110" s="259" t="inlineStr">
        <is>
          <t>Ставка "после проекта" может отличаться от ставки "до проекта" только в результате действий РП по значительному снижению трудоемкости, что привело еще и к снижению ставки. Требует обоснования.</t>
        </is>
      </c>
      <c r="L110" s="252" t="n"/>
    </row>
    <row r="111" hidden="1">
      <c r="B111" s="261" t="inlineStr">
        <is>
          <t>Объем производства и реализации - В2</t>
        </is>
      </c>
      <c r="C111" s="262" t="n"/>
      <c r="D111" s="232" t="n"/>
      <c r="E111" s="232" t="n"/>
      <c r="F111" s="244" t="n"/>
      <c r="G111" s="363" t="n"/>
      <c r="H111" s="363" t="n"/>
      <c r="I111" s="473" t="n"/>
      <c r="J111" s="310" t="n"/>
      <c r="K111" s="259" t="n"/>
      <c r="L111" s="236" t="n"/>
    </row>
    <row r="112" hidden="1" ht="15" customHeight="1">
      <c r="A112" s="393" t="n"/>
      <c r="B112" s="398" t="n"/>
      <c r="C112" s="397" t="inlineStr">
        <is>
          <t>Расшивка узкого места повлияла на остальные продукты?</t>
        </is>
      </c>
      <c r="D112" s="230" t="n"/>
      <c r="E112" s="230" t="n"/>
      <c r="F112" s="244" t="n"/>
      <c r="G112" s="399" t="n"/>
      <c r="H112" s="186" t="n"/>
      <c r="I112" s="473" t="n"/>
      <c r="J112" s="310" t="n"/>
      <c r="K112" s="397" t="n"/>
    </row>
    <row r="113" hidden="1" ht="15" customHeight="1">
      <c r="B113" s="263" t="n"/>
      <c r="C113" s="264" t="inlineStr">
        <is>
          <t>Процент роста объема реализации доп.продуктов (экспертная оценка РП и предприятия)</t>
        </is>
      </c>
      <c r="D113" s="244" t="n"/>
      <c r="E113" s="253" t="inlineStr">
        <is>
          <t>%</t>
        </is>
      </c>
      <c r="F113" s="255" t="n"/>
      <c r="G113" s="359" t="n"/>
      <c r="H113" s="361" t="n"/>
      <c r="I113" s="473" t="n"/>
      <c r="J113" s="310" t="n"/>
      <c r="K113" s="259" t="n"/>
      <c r="L113" s="252" t="n"/>
    </row>
    <row r="114" hidden="1" ht="15" customHeight="1">
      <c r="B114" s="263" t="n"/>
      <c r="C114" s="264" t="inlineStr">
        <is>
          <t>Выручка за год по всем продуктам</t>
        </is>
      </c>
      <c r="D114" s="244" t="n"/>
      <c r="E114" s="253" t="inlineStr">
        <is>
          <t>рубли</t>
        </is>
      </c>
      <c r="F114" s="255" t="n"/>
      <c r="G114" s="228" t="n"/>
      <c r="H114" s="359" t="n"/>
      <c r="I114" s="473" t="n"/>
      <c r="J114" s="310" t="n"/>
      <c r="K114" s="259" t="n"/>
      <c r="L114" s="252" t="n"/>
    </row>
    <row r="115" hidden="1" ht="15" customHeight="1">
      <c r="B115" s="263" t="n"/>
      <c r="C115" s="264" t="inlineStr">
        <is>
          <t>Переменные затраты за год по всем продуктам</t>
        </is>
      </c>
      <c r="D115" s="244" t="n"/>
      <c r="E115" s="253" t="inlineStr">
        <is>
          <t>рубли</t>
        </is>
      </c>
      <c r="F115" s="255" t="n"/>
      <c r="G115" s="228" t="n"/>
      <c r="H115" s="359" t="n"/>
      <c r="I115" s="473" t="n"/>
      <c r="J115" s="310" t="n"/>
      <c r="K115" s="259" t="n"/>
      <c r="L115" s="252" t="n"/>
    </row>
    <row r="116" hidden="1">
      <c r="B116" s="261" t="inlineStr">
        <is>
          <t>Объем производства и реализации - В3</t>
        </is>
      </c>
      <c r="C116" s="262" t="n"/>
      <c r="D116" s="232" t="n"/>
      <c r="E116" s="232" t="n"/>
      <c r="F116" s="244" t="n"/>
      <c r="G116" s="363" t="n"/>
      <c r="H116" s="363" t="n"/>
      <c r="I116" s="473" t="n"/>
      <c r="J116" s="310" t="n"/>
      <c r="K116" s="259" t="n"/>
      <c r="L116" s="236" t="n"/>
    </row>
    <row r="117" hidden="1" ht="15" customHeight="1">
      <c r="A117" s="236" t="n">
        <v>32</v>
      </c>
      <c r="B117" s="244" t="inlineStr">
        <is>
          <t>?</t>
        </is>
      </c>
      <c r="C117" s="245" t="inlineStr">
        <is>
          <t>Спрос превышает возможности производства?</t>
        </is>
      </c>
      <c r="D117" s="230" t="n"/>
      <c r="E117" s="230" t="n"/>
      <c r="F117" s="244" t="n"/>
      <c r="G117" s="187" t="n"/>
      <c r="H117" s="188" t="n"/>
      <c r="I117" s="473" t="n"/>
      <c r="J117" s="310" t="n"/>
      <c r="K117" s="326" t="n"/>
    </row>
    <row r="118" hidden="1" ht="15" customHeight="1">
      <c r="A118" s="236" t="n">
        <v>33</v>
      </c>
      <c r="B118" s="231" t="inlineStr">
        <is>
          <t>?</t>
        </is>
      </c>
      <c r="C118" s="257" t="inlineStr">
        <is>
          <t>Есть ли подтв. рост спроса по отнош.к возможностям производства на старте?</t>
        </is>
      </c>
      <c r="D118" s="230" t="n"/>
      <c r="E118" s="230" t="n"/>
      <c r="F118" s="244" t="n"/>
      <c r="G118" s="187" t="n"/>
      <c r="H118" s="186" t="n"/>
      <c r="I118" s="473" t="n"/>
      <c r="J118" s="310" t="n"/>
      <c r="K118" s="326" t="n"/>
    </row>
    <row r="119" hidden="1" ht="58.25" customHeight="1">
      <c r="B119" s="251" t="n"/>
      <c r="C119" s="259" t="inlineStr">
        <is>
          <t>Время цикла узкого места оптимизируемого потока</t>
        </is>
      </c>
      <c r="D119" s="244" t="inlineStr">
        <is>
          <t>Тцикл</t>
        </is>
      </c>
      <c r="E119" s="244" t="inlineStr">
        <is>
          <t>минуты</t>
        </is>
      </c>
      <c r="F119" s="233" t="n"/>
      <c r="G119" s="229" t="n"/>
      <c r="H119" s="229" t="n"/>
      <c r="I119" s="473" t="n"/>
      <c r="J119" s="310">
        <f>IF(AND(G117="нет",G119&gt;G120),"ОШИБКА: если спрос меньше возможностей производства, время цикла узкого места должно быть меньше времени такта","")</f>
        <v/>
      </c>
      <c r="K119" s="259" t="n"/>
      <c r="L119" s="252" t="n"/>
    </row>
    <row r="120" hidden="1" ht="58.25" customHeight="1">
      <c r="B120" s="251" t="n"/>
      <c r="C120" s="259" t="inlineStr">
        <is>
          <t>Необходимое время такта для удовлетворения спроса</t>
        </is>
      </c>
      <c r="D120" s="244" t="inlineStr">
        <is>
          <t>Тнеобх.такт</t>
        </is>
      </c>
      <c r="E120" s="244" t="inlineStr">
        <is>
          <t>минуты</t>
        </is>
      </c>
      <c r="F120" s="233" t="n"/>
      <c r="G120" s="229" t="n"/>
      <c r="H120" s="229" t="n"/>
      <c r="I120" s="473" t="n"/>
      <c r="J120" s="310">
        <f>IF(AND(G117="да",G119&lt;G120),"ОШИБКА: если спрос больше возможностей производства, время цикла узкого места должно быть больше времени такта","")</f>
        <v/>
      </c>
      <c r="K120" s="259" t="inlineStr">
        <is>
          <t>Показатель расчитывается как доступное время, деленное на объем спроса.</t>
        </is>
      </c>
      <c r="L120" s="252" t="n"/>
    </row>
    <row r="121" hidden="1" ht="30" customHeight="1">
      <c r="A121" s="236" t="n">
        <v>37</v>
      </c>
      <c r="B121" s="400" t="n"/>
      <c r="C121" s="397" t="inlineStr">
        <is>
          <t>Доступное рабочее время за год можно представить как произведение смен в сутки на количество рабочих дней?</t>
        </is>
      </c>
      <c r="D121" s="230" t="n"/>
      <c r="E121" s="230" t="n"/>
      <c r="F121" s="244" t="n"/>
      <c r="G121" s="187" t="n"/>
      <c r="H121" s="186" t="n"/>
      <c r="I121" s="473" t="n"/>
      <c r="J121" s="310" t="n"/>
      <c r="K121" s="326" t="inlineStr">
        <is>
          <t>Если производственный персонал работает сверхурочно, ответ "нет"</t>
        </is>
      </c>
    </row>
    <row r="122" hidden="1" ht="60" customHeight="1">
      <c r="B122" s="251" t="n"/>
      <c r="C122" s="259" t="inlineStr">
        <is>
          <t>Фактическое время производства годной продукции (минут в год)</t>
        </is>
      </c>
      <c r="D122" s="244" t="n"/>
      <c r="E122" s="244" t="inlineStr">
        <is>
          <t>минуты</t>
        </is>
      </c>
      <c r="F122" s="233" t="n"/>
      <c r="G122" s="229" t="n"/>
      <c r="H122" s="229" t="n"/>
      <c r="I122" s="473" t="n"/>
      <c r="J122" s="310" t="n"/>
      <c r="K122" s="259" t="inlineStr">
        <is>
          <t>Варианты расчета:
1. Доступное время * ОЕЕ;
2. Фактическое время производства продукции * Коэффициент выхода годной продукции</t>
        </is>
      </c>
      <c r="L122" s="252" t="n"/>
    </row>
    <row r="123" hidden="1" ht="15" customHeight="1">
      <c r="B123" s="251" t="n"/>
      <c r="C123" s="250" t="inlineStr">
        <is>
          <t xml:space="preserve">Количество рабочих смен </t>
        </is>
      </c>
      <c r="D123" s="244" t="inlineStr">
        <is>
          <t>Кс</t>
        </is>
      </c>
      <c r="E123" s="244" t="inlineStr">
        <is>
          <t>штуки</t>
        </is>
      </c>
      <c r="F123" s="233" t="n"/>
      <c r="G123" s="228" t="n"/>
      <c r="H123" s="228" t="n"/>
      <c r="I123" s="473" t="n"/>
      <c r="J123" s="310" t="n"/>
      <c r="K123" s="259" t="n"/>
      <c r="L123" s="252" t="n"/>
    </row>
    <row r="124" hidden="1" ht="15" customHeight="1">
      <c r="B124" s="251" t="n"/>
      <c r="C124" s="250" t="inlineStr">
        <is>
          <t>Количество рабочих часов в смене</t>
        </is>
      </c>
      <c r="D124" s="244" t="inlineStr">
        <is>
          <t>Крчс</t>
        </is>
      </c>
      <c r="E124" s="244" t="inlineStr">
        <is>
          <t>часы</t>
        </is>
      </c>
      <c r="F124" s="233" t="n"/>
      <c r="G124" s="228" t="n"/>
      <c r="H124" s="228" t="n"/>
      <c r="I124" s="473" t="n"/>
      <c r="J124" s="310" t="n"/>
      <c r="K124" s="259" t="n"/>
      <c r="L124" s="252" t="n"/>
    </row>
    <row r="125" hidden="1" ht="15" customHeight="1">
      <c r="B125" s="251" t="n"/>
      <c r="C125" s="250" t="inlineStr">
        <is>
          <t>Количество рабочих дней в году</t>
        </is>
      </c>
      <c r="D125" s="244" t="inlineStr">
        <is>
          <t>Крдн</t>
        </is>
      </c>
      <c r="E125" s="328" t="inlineStr">
        <is>
          <t>дни</t>
        </is>
      </c>
      <c r="F125" s="260" t="n"/>
      <c r="G125" s="228" t="n"/>
      <c r="H125" s="228" t="n"/>
      <c r="I125" s="473" t="n"/>
      <c r="J125" s="310" t="n"/>
      <c r="K125" s="259" t="n"/>
      <c r="L125" s="252" t="n"/>
    </row>
    <row r="126" hidden="1" ht="15" customHeight="1">
      <c r="B126" s="263" t="n"/>
      <c r="C126" s="264" t="inlineStr">
        <is>
          <t>Выручка по потоку за год (без НДС)</t>
        </is>
      </c>
      <c r="D126" s="244" t="n"/>
      <c r="E126" s="253" t="inlineStr">
        <is>
          <t>рубли</t>
        </is>
      </c>
      <c r="F126" s="255" t="n"/>
      <c r="G126" s="228" t="n"/>
      <c r="H126" s="359" t="n"/>
      <c r="I126" s="473" t="n"/>
      <c r="J126" s="310" t="n"/>
      <c r="K126" s="259" t="n"/>
      <c r="L126" s="252" t="n"/>
    </row>
    <row r="127" hidden="1" ht="15" customHeight="1">
      <c r="B127" s="263" t="n"/>
      <c r="C127" s="264" t="inlineStr">
        <is>
          <t>Переменные затраты по потоку за год (без НДС)</t>
        </is>
      </c>
      <c r="D127" s="244" t="n"/>
      <c r="E127" s="253" t="inlineStr">
        <is>
          <t>рубли</t>
        </is>
      </c>
      <c r="F127" s="255" t="n"/>
      <c r="G127" s="228" t="n"/>
      <c r="H127" s="359" t="n"/>
      <c r="I127" s="473" t="n"/>
      <c r="J127" s="310" t="n"/>
      <c r="K127" s="259" t="inlineStr"/>
      <c r="L127" s="252" t="n"/>
    </row>
    <row r="128" hidden="1">
      <c r="B128" s="261" t="inlineStr">
        <is>
          <t>Цены ГП и Переменные затраты - В3</t>
        </is>
      </c>
      <c r="C128" s="262" t="n"/>
      <c r="D128" s="232" t="n"/>
      <c r="E128" s="232" t="n"/>
      <c r="F128" s="244" t="n"/>
      <c r="G128" s="363" t="n"/>
      <c r="H128" s="363" t="n"/>
      <c r="I128" s="473" t="n"/>
      <c r="J128" s="310" t="n"/>
      <c r="K128" s="259" t="n"/>
      <c r="L128" s="236" t="n"/>
    </row>
    <row r="129" hidden="1" ht="15" customHeight="1">
      <c r="A129" s="236" t="n">
        <v>34</v>
      </c>
      <c r="B129" s="256" t="inlineStr">
        <is>
          <t>?</t>
        </is>
      </c>
      <c r="C129" s="257" t="inlineStr">
        <is>
          <t>В рамках проекта были снижены переменные затраты?</t>
        </is>
      </c>
      <c r="D129" s="230" t="n"/>
      <c r="E129" s="230" t="n"/>
      <c r="F129" s="244" t="n"/>
      <c r="G129" s="187" t="n"/>
      <c r="H129" s="186" t="n"/>
      <c r="I129" s="473" t="n"/>
      <c r="J129" s="310" t="n"/>
      <c r="K129" s="326" t="n"/>
    </row>
    <row r="130" hidden="1" ht="15" customHeight="1">
      <c r="A130" s="236" t="n">
        <v>35</v>
      </c>
      <c r="B130" s="244" t="inlineStr">
        <is>
          <t>?</t>
        </is>
      </c>
      <c r="C130" s="245" t="inlineStr">
        <is>
          <t>Основной производственный персонал находится на сдельной системе оплаты труда?</t>
        </is>
      </c>
      <c r="D130" s="230" t="n"/>
      <c r="E130" s="230" t="n"/>
      <c r="F130" s="244" t="n"/>
      <c r="G130" s="205" t="n"/>
      <c r="H130" s="207" t="n"/>
      <c r="I130" s="473" t="n"/>
      <c r="J130" s="310" t="n"/>
      <c r="K130" s="289" t="n"/>
    </row>
    <row r="131" hidden="1" ht="15" customHeight="1">
      <c r="A131" s="236" t="n">
        <v>36</v>
      </c>
      <c r="B131" s="244" t="inlineStr">
        <is>
          <t>?</t>
        </is>
      </c>
      <c r="C131" s="245" t="inlineStr">
        <is>
          <t>В рамках проекта была снижена трудоемкость?</t>
        </is>
      </c>
      <c r="D131" s="230" t="n"/>
      <c r="E131" s="230" t="n"/>
      <c r="F131" s="246" t="n"/>
      <c r="G131" s="206" t="n"/>
      <c r="H131" s="207" t="n"/>
      <c r="I131" s="473" t="n"/>
      <c r="J131" s="310" t="n"/>
      <c r="K131" s="289" t="n"/>
    </row>
    <row r="132" hidden="1" ht="15" customHeight="1">
      <c r="A132" s="236" t="n">
        <v>41</v>
      </c>
      <c r="B132" s="400" t="n"/>
      <c r="C132" s="395" t="inlineStr">
        <is>
          <t>В рамках проекта была изменена тарифная ставка оплаты труда?</t>
        </is>
      </c>
      <c r="D132" s="230" t="n"/>
      <c r="E132" s="230" t="n"/>
      <c r="F132" s="246" t="n"/>
      <c r="G132" s="206" t="n"/>
      <c r="H132" s="207" t="n"/>
      <c r="I132" s="473" t="n"/>
      <c r="J132" s="310" t="n"/>
      <c r="K132" s="289" t="n"/>
    </row>
    <row r="133" hidden="1" ht="75" customHeight="1">
      <c r="B133" s="244" t="n"/>
      <c r="C133" s="249" t="inlineStr">
        <is>
          <t>Трудоемкость</t>
        </is>
      </c>
      <c r="D133" s="246" t="inlineStr">
        <is>
          <t>Тр</t>
        </is>
      </c>
      <c r="E133" s="246">
        <f>"нормо-час/"&amp;E73</f>
        <v/>
      </c>
      <c r="F133" s="233" t="n"/>
      <c r="G133" s="228" t="n"/>
      <c r="H133" s="228" t="n"/>
      <c r="I133" s="473" t="n"/>
      <c r="J133" s="310" t="n"/>
      <c r="K133" s="254" t="inlineStr">
        <is>
          <t>Если на предприятии используется выработка, а не трудоемкость, нужно указать следующие значения:
Трудоемкость в потоке = 1
Тарифная ставка указывается в рублях на единицу продукции</t>
        </is>
      </c>
      <c r="L133" s="236" t="n"/>
    </row>
    <row r="134" hidden="1" ht="60" customHeight="1">
      <c r="B134" s="244" t="n"/>
      <c r="C134" s="249" t="inlineStr">
        <is>
          <t>Тарифная ставка рабочего, осуществляющего операцию в проекте</t>
        </is>
      </c>
      <c r="D134" s="246" t="inlineStr">
        <is>
          <t>Стар</t>
        </is>
      </c>
      <c r="E134" s="246" t="inlineStr">
        <is>
          <t>руб./нормо-час</t>
        </is>
      </c>
      <c r="F134" s="233" t="n"/>
      <c r="G134" s="228" t="n"/>
      <c r="H134" s="228" t="n"/>
      <c r="I134" s="473" t="n"/>
      <c r="J134" s="310" t="n"/>
      <c r="K134" s="254" t="inlineStr">
        <is>
          <t>Ставка "после проекта" может отличаться от ставки "до проекта" только в результате действий РП по значительному снижению трудоемкости, что привело еще и к снижению ставки. Требует обоснования.</t>
        </is>
      </c>
      <c r="L134" s="236" t="n"/>
    </row>
    <row r="135" hidden="1" ht="42" customHeight="1">
      <c r="B135" s="244" t="n"/>
      <c r="C135" s="259" t="inlineStr">
        <is>
          <t>Переменные затраты на оплату труда на все заказы в рублях за год</t>
        </is>
      </c>
      <c r="D135" s="246" t="n"/>
      <c r="E135" s="244" t="inlineStr">
        <is>
          <t>рубли</t>
        </is>
      </c>
      <c r="F135" s="233" t="n"/>
      <c r="G135" s="228" t="n"/>
      <c r="H135" s="357" t="n"/>
      <c r="I135" s="473" t="n"/>
      <c r="J135" s="310">
        <f>IF(G135&gt;G127,"ОШИБКА: затраты на оплату труда больше общих переменных затрат","")</f>
        <v/>
      </c>
      <c r="K135" s="254" t="n"/>
      <c r="L135" s="236" t="n"/>
    </row>
    <row r="136" hidden="1" ht="15" customHeight="1">
      <c r="A136" s="236" t="n">
        <v>37</v>
      </c>
      <c r="B136" s="244" t="inlineStr">
        <is>
          <t>?</t>
        </is>
      </c>
      <c r="C136" s="245" t="inlineStr">
        <is>
          <t>В рамках проекта проведена работа по снижению затрат сырья?</t>
        </is>
      </c>
      <c r="D136" s="230" t="n"/>
      <c r="E136" s="230" t="n"/>
      <c r="F136" s="244" t="n"/>
      <c r="G136" s="206" t="n"/>
      <c r="H136" s="186" t="n"/>
      <c r="I136" s="473" t="n"/>
      <c r="J136" s="310" t="n"/>
      <c r="K136" s="326" t="n"/>
    </row>
    <row r="137" hidden="1" ht="15" customHeight="1">
      <c r="B137" s="258" t="n"/>
      <c r="C137" s="259" t="inlineStr">
        <is>
          <t>Затраты на сырье на текущий заказ в рублях</t>
        </is>
      </c>
      <c r="D137" s="244" t="n"/>
      <c r="E137" s="244" t="inlineStr">
        <is>
          <t>руб./заказ</t>
        </is>
      </c>
      <c r="F137" s="233" t="n"/>
      <c r="G137" s="228" t="n"/>
      <c r="H137" s="228" t="n"/>
      <c r="I137" s="473" t="n"/>
      <c r="J137" s="310" t="n"/>
      <c r="K137" s="259" t="n"/>
      <c r="L137" s="236" t="n"/>
    </row>
    <row r="138" hidden="1" ht="15" customHeight="1">
      <c r="A138" s="236" t="n">
        <v>38</v>
      </c>
      <c r="B138" s="244" t="inlineStr">
        <is>
          <t>?</t>
        </is>
      </c>
      <c r="C138" s="245" t="inlineStr">
        <is>
          <t>Эффект от снижения затрат сырья можем экстраполировать на все заказы?</t>
        </is>
      </c>
      <c r="D138" s="230" t="n"/>
      <c r="E138" s="230" t="n"/>
      <c r="F138" s="244" t="n"/>
      <c r="G138" s="206" t="n"/>
      <c r="H138" s="186" t="n"/>
      <c r="I138" s="473" t="n"/>
      <c r="J138" s="310" t="n"/>
      <c r="K138" s="326" t="n"/>
    </row>
    <row r="139" hidden="1" ht="32" customHeight="1">
      <c r="B139" s="258" t="n"/>
      <c r="C139" s="259" t="inlineStr">
        <is>
          <t>Переменные затраты на сырье на все заказы в рублях за год</t>
        </is>
      </c>
      <c r="D139" s="244" t="n"/>
      <c r="E139" s="244" t="inlineStr">
        <is>
          <t>рубли</t>
        </is>
      </c>
      <c r="F139" s="233" t="n"/>
      <c r="G139" s="228" t="n"/>
      <c r="H139" s="360" t="n"/>
      <c r="I139" s="473" t="n"/>
      <c r="J139" s="310">
        <f>IF(G139&gt;G127,"ОШИБКА: затраты на сырье больше общих переменных затрат","")</f>
        <v/>
      </c>
      <c r="K139" s="259" t="n"/>
      <c r="L139" s="236" t="n"/>
    </row>
    <row r="140" hidden="1" ht="30" customHeight="1">
      <c r="A140" s="236" t="n">
        <v>39</v>
      </c>
      <c r="B140" s="256" t="inlineStr">
        <is>
          <t>?</t>
        </is>
      </c>
      <c r="C140" s="257" t="inlineStr">
        <is>
          <t>В рамках проекта были снижены затраты на энергоресурсы, нормируемые на единицу продукции (переменные затраты)?</t>
        </is>
      </c>
      <c r="D140" s="230" t="n"/>
      <c r="E140" s="230" t="n"/>
      <c r="F140" s="244" t="n"/>
      <c r="G140" s="206" t="n"/>
      <c r="H140" s="186" t="n"/>
      <c r="I140" s="473" t="n"/>
      <c r="J140" s="310" t="n"/>
      <c r="K140" s="326" t="n"/>
    </row>
    <row r="141" hidden="1" ht="44" customHeight="1">
      <c r="B141" s="258" t="n"/>
      <c r="C141" s="259" t="inlineStr">
        <is>
          <t>Затраты на энергоресурсы на текущий заказ в рублях</t>
        </is>
      </c>
      <c r="D141" s="244" t="n"/>
      <c r="E141" s="244" t="inlineStr">
        <is>
          <t>руб./заказ</t>
        </is>
      </c>
      <c r="F141" s="233" t="n"/>
      <c r="G141" s="228" t="n"/>
      <c r="H141" s="228" t="n"/>
      <c r="I141" s="473" t="n"/>
      <c r="J141" s="310" t="n"/>
      <c r="K141" s="259" t="n"/>
      <c r="L141" s="236" t="n"/>
    </row>
    <row r="142" hidden="1" ht="15" customHeight="1">
      <c r="A142" s="236" t="n">
        <v>40</v>
      </c>
      <c r="B142" s="244" t="inlineStr">
        <is>
          <t>?</t>
        </is>
      </c>
      <c r="C142" s="245" t="inlineStr">
        <is>
          <t>Эффект от снижения затрат на энергоресурсы можем экстраполировать на все заказы?</t>
        </is>
      </c>
      <c r="D142" s="230" t="n"/>
      <c r="E142" s="230" t="n"/>
      <c r="F142" s="244" t="n"/>
      <c r="G142" s="206" t="n"/>
      <c r="H142" s="186" t="n"/>
      <c r="I142" s="473" t="n"/>
      <c r="J142" s="310" t="n"/>
      <c r="K142" s="326" t="n"/>
    </row>
    <row r="143" hidden="1" ht="44" customHeight="1">
      <c r="B143" s="244" t="n"/>
      <c r="C143" s="259" t="inlineStr">
        <is>
          <t>Переменные затраты на энергоресурсы на все заказы в рублях за год</t>
        </is>
      </c>
      <c r="D143" s="246" t="n"/>
      <c r="E143" s="246" t="inlineStr">
        <is>
          <t>рубли</t>
        </is>
      </c>
      <c r="F143" s="233" t="n"/>
      <c r="G143" s="228" t="n"/>
      <c r="H143" s="357" t="n"/>
      <c r="I143" s="473" t="n"/>
      <c r="J143" s="310">
        <f>IF(G143&gt;G127,"ОШИБКА: затраты на энергоресурсы больше общих переменных затрат","")</f>
        <v/>
      </c>
      <c r="K143" s="254" t="n"/>
      <c r="L143" s="236" t="n"/>
    </row>
    <row r="144" hidden="1">
      <c r="B144" s="247" t="inlineStr">
        <is>
          <t>Постоянные затраты</t>
        </is>
      </c>
      <c r="C144" s="248" t="n"/>
      <c r="D144" s="232" t="n"/>
      <c r="E144" s="232" t="n"/>
      <c r="F144" s="244" t="n"/>
      <c r="G144" s="363" t="n"/>
      <c r="H144" s="363" t="n"/>
      <c r="I144" s="473" t="n"/>
      <c r="J144" s="310" t="n"/>
      <c r="K144" s="259" t="n"/>
      <c r="L144" s="236" t="n"/>
    </row>
    <row r="145" hidden="1">
      <c r="A145" s="236" t="n">
        <v>41</v>
      </c>
      <c r="B145" s="330" t="inlineStr">
        <is>
          <t>?</t>
        </is>
      </c>
      <c r="C145" s="331" t="inlineStr">
        <is>
          <t>В рамках проекта была оптимизация персонала на окладе?</t>
        </is>
      </c>
      <c r="D145" s="330" t="n"/>
      <c r="E145" s="330" t="n"/>
      <c r="F145" s="330" t="n"/>
      <c r="G145" s="188" t="inlineStr">
        <is>
          <t>да</t>
        </is>
      </c>
      <c r="H145" s="188" t="n"/>
      <c r="I145" s="189" t="n"/>
      <c r="J145" s="330" t="n"/>
      <c r="K145" s="330" t="n"/>
    </row>
    <row r="146" hidden="1" ht="15" customHeight="1">
      <c r="B146" s="253" t="n"/>
      <c r="C146" s="254" t="inlineStr">
        <is>
          <t>Количество сотрудников на окладе в проекте</t>
        </is>
      </c>
      <c r="D146" s="244" t="inlineStr">
        <is>
          <t>П</t>
        </is>
      </c>
      <c r="E146" s="253" t="inlineStr">
        <is>
          <t>человек</t>
        </is>
      </c>
      <c r="F146" s="255" t="n"/>
      <c r="G146" s="228" t="n">
        <v>20</v>
      </c>
      <c r="H146" s="228" t="n">
        <v>18</v>
      </c>
      <c r="I146" s="473" t="n"/>
      <c r="J146" s="310" t="n"/>
      <c r="K146" s="259" t="n"/>
      <c r="L146" s="236" t="n"/>
    </row>
    <row r="147" hidden="1" ht="15" customHeight="1">
      <c r="B147" s="253" t="n"/>
      <c r="C147" s="254" t="inlineStr">
        <is>
          <t>Среднемесячная заработная плата работника на окладе в проекте</t>
        </is>
      </c>
      <c r="D147" s="244" t="inlineStr">
        <is>
          <t>ЗП</t>
        </is>
      </c>
      <c r="E147" s="244" t="inlineStr">
        <is>
          <t>рубли</t>
        </is>
      </c>
      <c r="F147" s="233" t="n"/>
      <c r="G147" s="228" t="n">
        <v>20000</v>
      </c>
      <c r="H147" s="360" t="n"/>
      <c r="I147" s="473" t="n"/>
      <c r="J147" s="310" t="n"/>
      <c r="K147" s="259" t="n"/>
      <c r="L147" s="236" t="n"/>
    </row>
    <row r="148" hidden="1" ht="30" customHeight="1">
      <c r="A148" s="236" t="n">
        <v>42</v>
      </c>
      <c r="B148" s="244" t="inlineStr">
        <is>
          <t>?</t>
        </is>
      </c>
      <c r="C148" s="245" t="inlineStr">
        <is>
          <t>В рамках проекта были сокращены затраты на энергоресурсы, ненормированные на единицу продукции (постоянные затраты)?</t>
        </is>
      </c>
      <c r="D148" s="230" t="n"/>
      <c r="E148" s="230" t="n"/>
      <c r="F148" s="244" t="n"/>
      <c r="G148" s="187" t="inlineStr">
        <is>
          <t>да</t>
        </is>
      </c>
      <c r="H148" s="186" t="n"/>
      <c r="I148" s="473" t="n"/>
      <c r="J148" s="310" t="n"/>
      <c r="K148" s="326" t="n"/>
    </row>
    <row r="149" hidden="1" ht="15" customHeight="1">
      <c r="A149" s="236" t="n">
        <v>43</v>
      </c>
      <c r="B149" s="244" t="inlineStr">
        <is>
          <t>?</t>
        </is>
      </c>
      <c r="C149" s="245" t="inlineStr">
        <is>
          <t>В рамках проекта были сокращены постоянные затраты на электроэнергию?</t>
        </is>
      </c>
      <c r="D149" s="230" t="n"/>
      <c r="E149" s="230" t="n"/>
      <c r="F149" s="244" t="n"/>
      <c r="G149" s="187" t="n"/>
      <c r="H149" s="186" t="n"/>
      <c r="I149" s="473" t="n"/>
      <c r="J149" s="310" t="n"/>
      <c r="K149" s="326" t="n"/>
    </row>
    <row r="150" hidden="1" ht="15" customHeight="1">
      <c r="B150" s="251" t="n"/>
      <c r="C150" s="250" t="inlineStr">
        <is>
          <t xml:space="preserve">Объем фактически потребленной электроэнергии </t>
        </is>
      </c>
      <c r="D150" s="244" t="inlineStr">
        <is>
          <t>Окус1</t>
        </is>
      </c>
      <c r="E150" s="244" t="inlineStr">
        <is>
          <t>кВт</t>
        </is>
      </c>
      <c r="F150" s="233" t="n"/>
      <c r="G150" s="228" t="n">
        <v>150000</v>
      </c>
      <c r="H150" s="228" t="n">
        <v>120000</v>
      </c>
      <c r="I150" s="473" t="n"/>
      <c r="J150" s="310" t="n"/>
      <c r="K150" s="259" t="n"/>
      <c r="L150" s="236" t="n"/>
    </row>
    <row r="151" hidden="1" ht="45" customHeight="1">
      <c r="B151" s="251" t="n"/>
      <c r="C151" s="250" t="inlineStr">
        <is>
          <t>Тариф на электроэнергию в проекте</t>
        </is>
      </c>
      <c r="D151" s="244" t="inlineStr">
        <is>
          <t>Тэр1</t>
        </is>
      </c>
      <c r="E151" s="244" t="inlineStr">
        <is>
          <t>руб./КвтЧ</t>
        </is>
      </c>
      <c r="F151" s="233" t="n"/>
      <c r="G151" s="228" t="n">
        <v>5.3</v>
      </c>
      <c r="H151" s="360" t="n"/>
      <c r="I151" s="473" t="n"/>
      <c r="J151" s="310" t="n"/>
      <c r="K151" s="259" t="inlineStr">
        <is>
          <t>Для исключения ценового фактора эк.эффекты рассчитываем в ценах "до проекта". Цена после не требуется. В расчетах не участвует.</t>
        </is>
      </c>
      <c r="L151" s="236" t="n"/>
    </row>
    <row r="152" hidden="1" ht="15" customHeight="1">
      <c r="A152" s="236" t="n">
        <v>44</v>
      </c>
      <c r="B152" s="244" t="inlineStr">
        <is>
          <t>?</t>
        </is>
      </c>
      <c r="C152" s="245" t="inlineStr">
        <is>
          <t>В рамках проекта были сокращены постоянные затраты на водоснабжение и водоотведение?</t>
        </is>
      </c>
      <c r="D152" s="230" t="n"/>
      <c r="E152" s="230" t="n"/>
      <c r="F152" s="244" t="n"/>
      <c r="G152" s="187" t="n"/>
      <c r="H152" s="186" t="n"/>
      <c r="I152" s="473" t="n"/>
      <c r="J152" s="310" t="n"/>
      <c r="K152" s="326" t="n"/>
    </row>
    <row r="153" hidden="1" ht="15" customHeight="1">
      <c r="B153" s="251" t="n"/>
      <c r="C153" s="250" t="inlineStr">
        <is>
          <t>Объем фактически потребленной воды</t>
        </is>
      </c>
      <c r="D153" s="244" t="inlineStr">
        <is>
          <t>Окус2</t>
        </is>
      </c>
      <c r="E153" s="244" t="inlineStr">
        <is>
          <t>м3</t>
        </is>
      </c>
      <c r="F153" s="233" t="n"/>
      <c r="G153" s="228" t="n"/>
      <c r="H153" s="228" t="n"/>
      <c r="I153" s="473" t="n"/>
      <c r="J153" s="310" t="n"/>
      <c r="K153" s="259" t="n"/>
      <c r="L153" s="236" t="n"/>
    </row>
    <row r="154" hidden="1" ht="69" customHeight="1">
      <c r="B154" s="251" t="n"/>
      <c r="C154" s="250" t="inlineStr">
        <is>
          <t>Тариф на воду в проекте</t>
        </is>
      </c>
      <c r="D154" s="244" t="inlineStr">
        <is>
          <t>Тэр2</t>
        </is>
      </c>
      <c r="E154" s="244" t="inlineStr">
        <is>
          <t>руб./м3</t>
        </is>
      </c>
      <c r="F154" s="233" t="n"/>
      <c r="G154" s="228" t="n"/>
      <c r="H154" s="360" t="n"/>
      <c r="I154" s="473" t="n"/>
      <c r="J154" s="310" t="n"/>
      <c r="K154" s="259" t="inlineStr">
        <is>
          <t>Для исключения ценового фактора эк.эффекты рассчитываем в ценах "до проекта". Цена после не требуется. В расчетах не участвует.</t>
        </is>
      </c>
      <c r="L154" s="236" t="n"/>
    </row>
    <row r="155" hidden="1" ht="15" customHeight="1">
      <c r="A155" s="236" t="n">
        <v>45</v>
      </c>
      <c r="B155" s="244" t="inlineStr">
        <is>
          <t>?</t>
        </is>
      </c>
      <c r="C155" s="245" t="inlineStr">
        <is>
          <t>В рамках проекта были сокращены постоянные затраты на потребление ГСМ?</t>
        </is>
      </c>
      <c r="D155" s="230" t="n"/>
      <c r="E155" s="230" t="n"/>
      <c r="F155" s="244" t="n"/>
      <c r="G155" s="187" t="n"/>
      <c r="H155" s="186" t="n"/>
      <c r="I155" s="473" t="n"/>
      <c r="J155" s="310" t="n"/>
      <c r="K155" s="326" t="n"/>
    </row>
    <row r="156" hidden="1" ht="15" customHeight="1">
      <c r="B156" s="251" t="n"/>
      <c r="C156" s="250" t="inlineStr">
        <is>
          <t>Объем фактически потребленного ГСМ</t>
        </is>
      </c>
      <c r="D156" s="244" t="inlineStr">
        <is>
          <t>Окус3</t>
        </is>
      </c>
      <c r="E156" s="489" t="n"/>
      <c r="F156" s="233" t="n"/>
      <c r="G156" s="228" t="n"/>
      <c r="H156" s="228" t="n"/>
      <c r="I156" s="473" t="n"/>
      <c r="J156" s="310" t="n"/>
      <c r="K156" s="259" t="n"/>
      <c r="L156" s="236" t="n"/>
    </row>
    <row r="157" hidden="1" ht="49.5" customHeight="1">
      <c r="B157" s="251" t="n"/>
      <c r="C157" s="250" t="inlineStr">
        <is>
          <t>Тариф на ГСМ в проекте</t>
        </is>
      </c>
      <c r="D157" s="244" t="inlineStr">
        <is>
          <t>Тэр3</t>
        </is>
      </c>
      <c r="E157" s="244">
        <f>"руб./"&amp;E156</f>
        <v/>
      </c>
      <c r="F157" s="233" t="n"/>
      <c r="G157" s="228" t="n"/>
      <c r="H157" s="360" t="n"/>
      <c r="I157" s="473" t="n"/>
      <c r="J157" s="310" t="n"/>
      <c r="K157" s="259" t="inlineStr">
        <is>
          <t>Для исключения ценового фактора эк.эффекты рассчитываем в ценах "до проекта". Цена после не требуется. В расчетах не участвует.</t>
        </is>
      </c>
      <c r="L157" s="236" t="n"/>
    </row>
    <row r="158" hidden="1">
      <c r="A158" s="236" t="n">
        <v>46</v>
      </c>
      <c r="B158" s="244" t="inlineStr">
        <is>
          <t>?</t>
        </is>
      </c>
      <c r="C158" s="265" t="inlineStr">
        <is>
          <t>В рамках проекта были сокращены постоянные затраты на потребление тепла?</t>
        </is>
      </c>
      <c r="D158" s="230" t="n"/>
      <c r="E158" s="230" t="n"/>
      <c r="F158" s="244" t="n"/>
      <c r="G158" s="187" t="n"/>
      <c r="H158" s="186" t="n"/>
      <c r="I158" s="473" t="n"/>
      <c r="J158" s="310" t="n"/>
      <c r="K158" s="326" t="n"/>
    </row>
    <row r="159" hidden="1" ht="15" customHeight="1">
      <c r="B159" s="251" t="n"/>
      <c r="C159" s="250" t="inlineStr">
        <is>
          <t>Объем фактически потребленного тепла</t>
        </is>
      </c>
      <c r="D159" s="244" t="inlineStr">
        <is>
          <t>Окус4</t>
        </is>
      </c>
      <c r="E159" s="244" t="inlineStr">
        <is>
          <t>Гкал</t>
        </is>
      </c>
      <c r="F159" s="233" t="n"/>
      <c r="G159" s="228" t="n">
        <v>8472</v>
      </c>
      <c r="H159" s="228" t="n">
        <v>8048.4</v>
      </c>
      <c r="I159" s="473" t="n"/>
      <c r="J159" s="310" t="n"/>
      <c r="K159" s="259" t="n"/>
      <c r="L159" s="236" t="n"/>
    </row>
    <row r="160" hidden="1" ht="45" customHeight="1">
      <c r="B160" s="251" t="n"/>
      <c r="C160" s="250" t="inlineStr">
        <is>
          <t>Тариф на тепло в проекте</t>
        </is>
      </c>
      <c r="D160" s="244" t="inlineStr">
        <is>
          <t>Тэр4</t>
        </is>
      </c>
      <c r="E160" s="244" t="inlineStr">
        <is>
          <t>руб./Гкал</t>
        </is>
      </c>
      <c r="F160" s="233" t="n"/>
      <c r="G160" s="228" t="n">
        <v>1642</v>
      </c>
      <c r="H160" s="360" t="n"/>
      <c r="I160" s="473" t="n"/>
      <c r="J160" s="310" t="n"/>
      <c r="K160" s="259" t="inlineStr">
        <is>
          <t>Для исключения ценового фактора эк.эффекты рассчитываем в ценах "до проекта". Цена после не требуется. В расчетах не участвует.</t>
        </is>
      </c>
      <c r="L160" s="236" t="n"/>
    </row>
    <row r="161" hidden="1" ht="45" customHeight="1">
      <c r="A161" s="236" t="n">
        <v>47</v>
      </c>
      <c r="B161" s="244" t="inlineStr">
        <is>
          <t>?</t>
        </is>
      </c>
      <c r="C161" s="245" t="inlineStr">
        <is>
          <t>В рамках проекта были изменены затраты на ремонт?</t>
        </is>
      </c>
      <c r="D161" s="230" t="n"/>
      <c r="E161" s="230" t="n"/>
      <c r="F161" s="244" t="n"/>
      <c r="G161" s="187" t="inlineStr">
        <is>
          <t>да</t>
        </is>
      </c>
      <c r="H161" s="186" t="n"/>
      <c r="I161" s="473" t="n"/>
      <c r="J161" s="310" t="n"/>
      <c r="K161" s="326" t="inlineStr">
        <is>
          <t>Учитываются затраты на ремонт (оборудование, помещения, инструмент и т.д., задействованные в рамках проекта)</t>
        </is>
      </c>
    </row>
    <row r="162" hidden="1" ht="15" customHeight="1">
      <c r="B162" s="251" t="n"/>
      <c r="C162" s="250" t="inlineStr">
        <is>
          <t xml:space="preserve">Затраты на текущий ремонт и обслуживание оборудования в проекте </t>
        </is>
      </c>
      <c r="D162" s="244" t="inlineStr">
        <is>
          <t>Ср</t>
        </is>
      </c>
      <c r="E162" s="244" t="inlineStr">
        <is>
          <t>рубли</t>
        </is>
      </c>
      <c r="F162" s="233" t="n"/>
      <c r="G162" s="228" t="n">
        <v>100000</v>
      </c>
      <c r="H162" s="228" t="n">
        <v>90000</v>
      </c>
      <c r="I162" s="473" t="n"/>
      <c r="J162" s="310" t="n"/>
      <c r="K162" s="259" t="n"/>
      <c r="L162" s="236" t="n"/>
    </row>
    <row r="163" hidden="1">
      <c r="B163" s="247" t="inlineStr">
        <is>
          <t>Прочие доходы и расходы</t>
        </is>
      </c>
      <c r="C163" s="248" t="n"/>
      <c r="D163" s="232" t="n"/>
      <c r="E163" s="232" t="n"/>
      <c r="F163" s="244" t="n"/>
      <c r="G163" s="363" t="n"/>
      <c r="H163" s="363" t="n"/>
      <c r="I163" s="473" t="n"/>
      <c r="J163" s="310" t="n"/>
      <c r="K163" s="259" t="n"/>
      <c r="L163" s="236" t="n"/>
    </row>
    <row r="164" hidden="1" ht="15" customHeight="1">
      <c r="A164" s="236" t="n">
        <v>48</v>
      </c>
      <c r="B164" s="244" t="inlineStr">
        <is>
          <t>?</t>
        </is>
      </c>
      <c r="C164" s="245" t="inlineStr">
        <is>
          <t>В рамках проекта было высвобождение площадей?</t>
        </is>
      </c>
      <c r="D164" s="230" t="n"/>
      <c r="E164" s="230" t="n"/>
      <c r="F164" s="244" t="n"/>
      <c r="G164" s="187" t="inlineStr">
        <is>
          <t>да</t>
        </is>
      </c>
      <c r="H164" s="186" t="n"/>
      <c r="I164" s="473" t="n"/>
      <c r="J164" s="310" t="n"/>
      <c r="K164" s="326" t="n"/>
    </row>
    <row r="165" hidden="1" ht="15" customHeight="1">
      <c r="B165" s="251" t="n"/>
      <c r="C165" s="250" t="inlineStr">
        <is>
          <t>Высвобожденная площадь</t>
        </is>
      </c>
      <c r="D165" s="244" t="inlineStr">
        <is>
          <t>Пл</t>
        </is>
      </c>
      <c r="E165" s="244" t="inlineStr">
        <is>
          <t>м2</t>
        </is>
      </c>
      <c r="F165" s="233" t="n"/>
      <c r="G165" s="360" t="n"/>
      <c r="H165" s="228" t="n">
        <v>200</v>
      </c>
      <c r="I165" s="473" t="n"/>
      <c r="J165" s="310" t="n"/>
      <c r="K165" s="259" t="n"/>
      <c r="L165" s="236" t="n"/>
    </row>
    <row r="166" hidden="1" ht="15" customHeight="1">
      <c r="A166" s="236" t="n">
        <v>49</v>
      </c>
      <c r="B166" s="244" t="inlineStr">
        <is>
          <t>?</t>
        </is>
      </c>
      <c r="C166" s="245" t="inlineStr">
        <is>
          <t>Была ли получена финансовая отдача от высвобождения площадей?</t>
        </is>
      </c>
      <c r="D166" s="230" t="n"/>
      <c r="E166" s="230" t="n"/>
      <c r="F166" s="244" t="n"/>
      <c r="G166" s="187" t="inlineStr">
        <is>
          <t>да</t>
        </is>
      </c>
      <c r="H166" s="186" t="n"/>
      <c r="I166" s="473" t="n"/>
      <c r="J166" s="310" t="n"/>
      <c r="K166" s="326" t="n"/>
    </row>
    <row r="167" hidden="1" ht="15" customHeight="1">
      <c r="B167" s="251" t="n"/>
      <c r="C167" s="250" t="inlineStr">
        <is>
          <t>Средняя годовая арендная ставка на подобные помещения в регионе</t>
        </is>
      </c>
      <c r="D167" s="244" t="inlineStr">
        <is>
          <t>СТпл</t>
        </is>
      </c>
      <c r="E167" s="244" t="inlineStr">
        <is>
          <t>руб./м2</t>
        </is>
      </c>
      <c r="F167" s="233" t="n"/>
      <c r="G167" s="360" t="n"/>
      <c r="H167" s="228" t="n">
        <v>0</v>
      </c>
      <c r="I167" s="473" t="n"/>
      <c r="J167" s="310" t="n"/>
      <c r="K167" s="259" t="inlineStr">
        <is>
          <t>Потенциальный эффект</t>
        </is>
      </c>
      <c r="L167" s="236" t="n"/>
    </row>
    <row r="168" hidden="1" ht="15" customHeight="1">
      <c r="B168" s="251" t="n"/>
      <c r="C168" s="250" t="inlineStr">
        <is>
          <t>Арендная ставка, по которой сдали или перестали снимать помещения</t>
        </is>
      </c>
      <c r="D168" s="244" t="inlineStr">
        <is>
          <t>СТпл</t>
        </is>
      </c>
      <c r="E168" s="244" t="inlineStr">
        <is>
          <t>руб./м2</t>
        </is>
      </c>
      <c r="F168" s="233" t="n"/>
      <c r="G168" s="360" t="n"/>
      <c r="H168" s="228" t="n">
        <v>2000</v>
      </c>
      <c r="I168" s="473" t="n"/>
      <c r="J168" s="310" t="n"/>
      <c r="K168" s="259" t="inlineStr">
        <is>
          <t>Реальный эффект</t>
        </is>
      </c>
      <c r="L168" s="236" t="n"/>
    </row>
    <row r="169" hidden="1" ht="15" customHeight="1">
      <c r="A169" s="236" t="n">
        <v>50</v>
      </c>
      <c r="B169" s="244" t="inlineStr">
        <is>
          <t>?</t>
        </is>
      </c>
      <c r="C169" s="245" t="inlineStr">
        <is>
          <t>В рамках проекта был снижен уровень неисправимого брака?</t>
        </is>
      </c>
      <c r="D169" s="230" t="n"/>
      <c r="E169" s="230" t="n"/>
      <c r="F169" s="244" t="n"/>
      <c r="G169" s="187" t="inlineStr">
        <is>
          <t>да</t>
        </is>
      </c>
      <c r="H169" s="186" t="n"/>
      <c r="I169" s="473" t="n"/>
      <c r="J169" s="310" t="n"/>
      <c r="K169" s="326" t="n"/>
    </row>
    <row r="170" hidden="1" ht="45" customHeight="1">
      <c r="B170" s="251" t="n"/>
      <c r="C170" s="250" t="inlineStr">
        <is>
          <t>Процент бракованной продукции в потоке (неисправимый брак)</t>
        </is>
      </c>
      <c r="D170" s="244" t="inlineStr">
        <is>
          <t>Б</t>
        </is>
      </c>
      <c r="E170" s="244" t="inlineStr">
        <is>
          <t>%</t>
        </is>
      </c>
      <c r="F170" s="233" t="n"/>
      <c r="G170" s="366" t="n">
        <v>0.1</v>
      </c>
      <c r="H170" s="366" t="n">
        <v>0.05</v>
      </c>
      <c r="I170" s="473" t="n"/>
      <c r="J170" s="310" t="n"/>
      <c r="K170" s="259" t="inlineStr">
        <is>
          <t>Указывается процент только по неисправимому браку, т.к. снижение исправимого брака отражается в снижении норм потребления энергоресурсов и трудоемкости</t>
        </is>
      </c>
      <c r="L170" s="236" t="n"/>
    </row>
    <row r="171" hidden="1" ht="15" customHeight="1">
      <c r="B171" s="251" t="n"/>
      <c r="C171" s="250" t="inlineStr">
        <is>
          <t>Суммарные переменные затраты на производство полуфабрикатов для всех заказов за год</t>
        </is>
      </c>
      <c r="D171" s="244" t="n"/>
      <c r="E171" s="244" t="inlineStr">
        <is>
          <t>рубли</t>
        </is>
      </c>
      <c r="F171" s="233" t="n"/>
      <c r="G171" s="364" t="n"/>
      <c r="H171" s="365" t="n"/>
      <c r="I171" s="473" t="n"/>
      <c r="J171" s="310" t="n"/>
      <c r="K171" s="259" t="n"/>
      <c r="L171" s="236" t="n"/>
    </row>
    <row r="172" hidden="1">
      <c r="B172" s="247" t="inlineStr">
        <is>
          <t>Рабочий капитал</t>
        </is>
      </c>
      <c r="C172" s="248" t="n"/>
      <c r="D172" s="232" t="n"/>
      <c r="E172" s="232" t="n"/>
      <c r="F172" s="244" t="n"/>
      <c r="G172" s="363" t="n"/>
      <c r="H172" s="363" t="n"/>
      <c r="I172" s="473" t="n"/>
      <c r="J172" s="310" t="n"/>
      <c r="K172" s="259" t="n"/>
      <c r="L172" s="236" t="n"/>
    </row>
    <row r="173" hidden="1" ht="30" customHeight="1">
      <c r="A173" s="236" t="n">
        <v>51</v>
      </c>
      <c r="B173" s="244" t="inlineStr">
        <is>
          <t>?</t>
        </is>
      </c>
      <c r="C173" s="245" t="inlineStr">
        <is>
          <t>Возможно ли оценить запасы в потоке/НЗП в натуральных величинах (шт./л/кг) и их себестоимость?</t>
        </is>
      </c>
      <c r="D173" s="230" t="n"/>
      <c r="E173" s="230" t="n"/>
      <c r="F173" s="244" t="n"/>
      <c r="G173" s="187" t="inlineStr">
        <is>
          <t>нет</t>
        </is>
      </c>
      <c r="H173" s="186" t="n"/>
      <c r="I173" s="473" t="n"/>
      <c r="J173" s="310" t="n"/>
      <c r="K173" s="326" t="n"/>
    </row>
    <row r="174" hidden="1" ht="15" customHeight="1">
      <c r="B174" s="251" t="n"/>
      <c r="C174" s="250" t="inlineStr">
        <is>
          <t>Количество запасов/НЗП в потоке</t>
        </is>
      </c>
      <c r="D174" s="244" t="inlineStr">
        <is>
          <t>Кдп</t>
        </is>
      </c>
      <c r="E174" s="244" t="inlineStr">
        <is>
          <t>штуки</t>
        </is>
      </c>
      <c r="F174" s="233" t="n"/>
      <c r="G174" s="228" t="n"/>
      <c r="H174" s="228" t="n"/>
      <c r="I174" s="473" t="n"/>
      <c r="J174" s="310" t="n"/>
      <c r="K174" s="259" t="n"/>
      <c r="L174" s="252" t="n"/>
    </row>
    <row r="175" hidden="1" ht="15" customHeight="1">
      <c r="B175" s="251" t="n"/>
      <c r="C175" s="250" t="inlineStr">
        <is>
          <t xml:space="preserve">Стоимость 1 единицы запасов/НЗП в потоке </t>
        </is>
      </c>
      <c r="D175" s="244" t="inlineStr">
        <is>
          <t>СТнзп</t>
        </is>
      </c>
      <c r="E175" s="244" t="inlineStr">
        <is>
          <t>руб./ед.изм.</t>
        </is>
      </c>
      <c r="F175" s="233" t="n"/>
      <c r="G175" s="228" t="n"/>
      <c r="H175" s="228" t="n"/>
      <c r="I175" s="473" t="n"/>
      <c r="J175" s="310" t="n"/>
      <c r="K175" s="259" t="n"/>
      <c r="L175" s="252" t="n"/>
    </row>
    <row r="176" hidden="1" ht="15" customHeight="1">
      <c r="B176" s="251" t="n"/>
      <c r="C176" s="250" t="inlineStr">
        <is>
          <t>Запасы/НЗП в потоке в рублевом эквиваленте</t>
        </is>
      </c>
      <c r="D176" s="244" t="n"/>
      <c r="E176" s="244" t="inlineStr">
        <is>
          <t>рубли</t>
        </is>
      </c>
      <c r="F176" s="233" t="n"/>
      <c r="G176" s="228" t="n">
        <v>480000</v>
      </c>
      <c r="H176" s="228" t="n">
        <v>400000</v>
      </c>
      <c r="I176" s="473" t="n"/>
      <c r="J176" s="310" t="n"/>
      <c r="K176" s="259" t="n"/>
      <c r="L176" s="252" t="n"/>
    </row>
    <row r="177" hidden="1" ht="14" customHeight="1">
      <c r="A177" s="236" t="n">
        <v>52</v>
      </c>
      <c r="B177" s="244" t="inlineStr">
        <is>
          <t>?</t>
        </is>
      </c>
      <c r="C177" s="245" t="inlineStr">
        <is>
          <t>В рамках проекта были сокращены запасы сырья и материалов?</t>
        </is>
      </c>
      <c r="D177" s="230" t="n"/>
      <c r="E177" s="230" t="n"/>
      <c r="F177" s="244" t="n"/>
      <c r="G177" s="187" t="inlineStr">
        <is>
          <t>да</t>
        </is>
      </c>
      <c r="H177" s="186" t="n"/>
      <c r="I177" s="473" t="n"/>
      <c r="J177" s="310" t="n"/>
      <c r="K177" s="326" t="n"/>
    </row>
    <row r="178" hidden="1" ht="30" customHeight="1">
      <c r="A178" s="236" t="n">
        <v>53</v>
      </c>
      <c r="B178" s="244" t="inlineStr">
        <is>
          <t>?</t>
        </is>
      </c>
      <c r="C178" s="245" t="inlineStr">
        <is>
          <t>Возможно оценить запасы сырья и материалов через количество?</t>
        </is>
      </c>
      <c r="D178" s="230" t="n"/>
      <c r="E178" s="230" t="n"/>
      <c r="F178" s="244" t="n"/>
      <c r="G178" s="187" t="inlineStr">
        <is>
          <t>нет</t>
        </is>
      </c>
      <c r="H178" s="186" t="n"/>
      <c r="I178" s="473" t="n"/>
      <c r="J178" s="310" t="n"/>
      <c r="K178" s="326" t="inlineStr">
        <is>
          <t>Если на складах более одной номенклатуры сырья и материалов, нужно отвечать "нет"</t>
        </is>
      </c>
    </row>
    <row r="179" hidden="1" ht="15" customHeight="1">
      <c r="B179" s="251" t="n"/>
      <c r="C179" s="250" t="inlineStr">
        <is>
          <t xml:space="preserve">Количество сырья и материалов на складах </t>
        </is>
      </c>
      <c r="D179" s="244" t="inlineStr">
        <is>
          <t>Ксим</t>
        </is>
      </c>
      <c r="E179" s="244" t="inlineStr">
        <is>
          <t>шт.</t>
        </is>
      </c>
      <c r="F179" s="233" t="n"/>
      <c r="G179" s="228" t="n"/>
      <c r="H179" s="228" t="n"/>
      <c r="I179" s="473" t="n"/>
      <c r="J179" s="310" t="n"/>
      <c r="K179" s="259" t="n"/>
      <c r="L179" s="252" t="n"/>
    </row>
    <row r="180" hidden="1" ht="15" customHeight="1">
      <c r="B180" s="251" t="n"/>
      <c r="C180" s="250" t="inlineStr">
        <is>
          <t xml:space="preserve">Стоимость 1 единицы сырья на складе </t>
        </is>
      </c>
      <c r="D180" s="244" t="n"/>
      <c r="E180" s="244" t="inlineStr">
        <is>
          <t>руб./шт.</t>
        </is>
      </c>
      <c r="F180" s="233" t="n"/>
      <c r="G180" s="228" t="n"/>
      <c r="H180" s="360" t="n"/>
      <c r="I180" s="473" t="n"/>
      <c r="J180" s="310" t="n"/>
      <c r="K180" s="259" t="n"/>
      <c r="L180" s="252" t="n"/>
    </row>
    <row r="181" hidden="1" ht="15" customHeight="1">
      <c r="B181" s="251" t="n"/>
      <c r="C181" s="250" t="inlineStr">
        <is>
          <t>Запасы сырья и материалов в рублевом эквиваленте</t>
        </is>
      </c>
      <c r="D181" s="244" t="n"/>
      <c r="E181" s="244" t="inlineStr">
        <is>
          <t>рубли</t>
        </is>
      </c>
      <c r="F181" s="233" t="n"/>
      <c r="G181" s="228" t="n">
        <v>500000</v>
      </c>
      <c r="H181" s="228" t="n">
        <v>400000</v>
      </c>
      <c r="I181" s="473" t="n"/>
      <c r="J181" s="310" t="n"/>
      <c r="K181" s="259" t="n"/>
      <c r="L181" s="252" t="n"/>
    </row>
    <row r="182" hidden="1" ht="15" customHeight="1">
      <c r="A182" s="236" t="n">
        <v>54</v>
      </c>
      <c r="B182" s="244" t="inlineStr">
        <is>
          <t>?</t>
        </is>
      </c>
      <c r="C182" s="245" t="inlineStr">
        <is>
          <t>В рамках проекта были сокращены запасы ГП на складах?</t>
        </is>
      </c>
      <c r="D182" s="230" t="n"/>
      <c r="E182" s="230" t="n"/>
      <c r="F182" s="244" t="n"/>
      <c r="G182" s="187" t="inlineStr">
        <is>
          <t>да</t>
        </is>
      </c>
      <c r="H182" s="186" t="n"/>
      <c r="I182" s="473" t="n"/>
      <c r="J182" s="310" t="n"/>
      <c r="K182" s="326" t="inlineStr">
        <is>
          <t>Не применимо для сезонного спроса</t>
        </is>
      </c>
    </row>
    <row r="183" hidden="1" ht="15" customHeight="1">
      <c r="A183" s="236" t="n">
        <v>55</v>
      </c>
      <c r="B183" s="244" t="inlineStr">
        <is>
          <t>?</t>
        </is>
      </c>
      <c r="C183" s="245" t="inlineStr">
        <is>
          <t>Возможно оценить запасы ГП через количество?</t>
        </is>
      </c>
      <c r="D183" s="230" t="n"/>
      <c r="E183" s="230" t="n"/>
      <c r="F183" s="244" t="n"/>
      <c r="G183" s="187" t="inlineStr">
        <is>
          <t>нет</t>
        </is>
      </c>
      <c r="H183" s="186" t="n"/>
      <c r="I183" s="473" t="n"/>
      <c r="J183" s="310" t="n"/>
      <c r="K183" s="326" t="n"/>
    </row>
    <row r="184" hidden="1" ht="15" customHeight="1">
      <c r="B184" s="251" t="n"/>
      <c r="C184" s="250" t="inlineStr">
        <is>
          <t xml:space="preserve">Количество готовой продукции на складах </t>
        </is>
      </c>
      <c r="D184" s="244" t="inlineStr">
        <is>
          <t>ГП</t>
        </is>
      </c>
      <c r="E184" s="244">
        <f>IF(OR(E73=0,E73=""),"",E73)</f>
        <v/>
      </c>
      <c r="F184" s="233" t="n"/>
      <c r="G184" s="228" t="n"/>
      <c r="H184" s="228" t="n"/>
      <c r="I184" s="473" t="n"/>
      <c r="J184" s="310" t="n"/>
      <c r="K184" s="259" t="n"/>
      <c r="L184" s="266" t="n"/>
    </row>
    <row r="185" hidden="1" ht="15" customHeight="1">
      <c r="B185" s="251" t="n"/>
      <c r="C185" s="250" t="inlineStr">
        <is>
          <t xml:space="preserve">Стоимость 1 единицы ГП на складе </t>
        </is>
      </c>
      <c r="D185" s="244" t="inlineStr">
        <is>
          <t>ГП</t>
        </is>
      </c>
      <c r="E185" s="244">
        <f>"руб./"&amp;E184</f>
        <v/>
      </c>
      <c r="F185" s="233" t="n"/>
      <c r="G185" s="228" t="n"/>
      <c r="H185" s="357" t="n"/>
      <c r="I185" s="473" t="n"/>
      <c r="J185" s="310" t="n"/>
      <c r="K185" s="259" t="n"/>
      <c r="L185" s="266" t="n"/>
    </row>
    <row r="186" hidden="1" ht="15" customHeight="1">
      <c r="B186" s="251" t="n"/>
      <c r="C186" s="250" t="inlineStr">
        <is>
          <t>Запасы готовой продукции в рублевом эквиваленте</t>
        </is>
      </c>
      <c r="D186" s="244" t="n"/>
      <c r="E186" s="244" t="inlineStr">
        <is>
          <t>рубли</t>
        </is>
      </c>
      <c r="F186" s="233" t="n"/>
      <c r="G186" s="228" t="n">
        <v>1050000</v>
      </c>
      <c r="H186" s="228" t="n">
        <v>525000</v>
      </c>
      <c r="I186" s="473" t="n"/>
      <c r="J186" s="310" t="n"/>
      <c r="K186" s="259" t="n"/>
      <c r="L186" s="252" t="n"/>
    </row>
    <row r="187" ht="15" customHeight="1">
      <c r="B187" s="251" t="n"/>
      <c r="C187" s="250" t="inlineStr">
        <is>
          <t>Ключевая ставка Банка России</t>
        </is>
      </c>
      <c r="D187" s="244" t="inlineStr">
        <is>
          <t>КС</t>
        </is>
      </c>
      <c r="E187" s="244" t="inlineStr">
        <is>
          <t>%</t>
        </is>
      </c>
      <c r="F187" s="233" t="n"/>
      <c r="G187" s="405" t="n">
        <v>0.06</v>
      </c>
      <c r="H187" s="366" t="n">
        <v>0.06</v>
      </c>
      <c r="I187" s="473">
        <f>I88*263</f>
        <v/>
      </c>
      <c r="J187" s="310" t="n"/>
      <c r="K187" s="311" t="inlineStr">
        <is>
          <t>Ключевая ставка здесь</t>
        </is>
      </c>
      <c r="L187" s="252" t="n"/>
    </row>
    <row r="188" hidden="1">
      <c r="B188" s="247" t="inlineStr">
        <is>
          <t>Доп.эффект</t>
        </is>
      </c>
      <c r="C188" s="248" t="n"/>
      <c r="D188" s="232" t="n"/>
      <c r="E188" s="232" t="n"/>
      <c r="F188" s="244" t="n"/>
      <c r="G188" s="363" t="n"/>
      <c r="H188" s="363" t="n"/>
      <c r="I188" s="473" t="n"/>
      <c r="J188" s="310" t="n"/>
      <c r="K188" s="259" t="n"/>
      <c r="L188" s="236" t="n"/>
    </row>
    <row r="189" hidden="1" ht="30" customHeight="1">
      <c r="A189" s="236" t="n">
        <v>56</v>
      </c>
      <c r="B189" s="244" t="inlineStr">
        <is>
          <t>?</t>
        </is>
      </c>
      <c r="C189" s="245" t="inlineStr">
        <is>
          <t>Есть ли другие эффекты, не перечисленные выше и имеющие обоснование?</t>
        </is>
      </c>
      <c r="D189" s="230" t="n"/>
      <c r="E189" s="230" t="n"/>
      <c r="F189" s="244" t="n"/>
      <c r="G189" s="187" t="inlineStr">
        <is>
          <t>нет</t>
        </is>
      </c>
      <c r="H189" s="186" t="n"/>
      <c r="I189" s="473" t="n"/>
      <c r="J189" s="310" t="n"/>
      <c r="K189" s="326" t="inlineStr">
        <is>
          <t>Если в результате проекта появились дополнительные расходы, не отраженные выше, нужно ответить "да"</t>
        </is>
      </c>
    </row>
    <row r="190" hidden="1" ht="15" customHeight="1">
      <c r="A190" s="236" t="n">
        <v>57</v>
      </c>
      <c r="B190" s="244" t="inlineStr">
        <is>
          <t>?</t>
        </is>
      </c>
      <c r="C190" s="245" t="inlineStr">
        <is>
          <t>Эффект реальный?</t>
        </is>
      </c>
      <c r="D190" s="230" t="n"/>
      <c r="E190" s="230" t="n"/>
      <c r="F190" s="244" t="n"/>
      <c r="G190" s="187" t="inlineStr">
        <is>
          <t>нет</t>
        </is>
      </c>
      <c r="H190" s="186" t="n"/>
      <c r="I190" s="473" t="n"/>
      <c r="J190" s="310" t="n"/>
      <c r="K190" s="326" t="n"/>
    </row>
    <row r="191" hidden="1" ht="75" customHeight="1">
      <c r="B191" s="251" t="n"/>
      <c r="C191" s="250" t="inlineStr">
        <is>
          <t>Дополнительный эффект</t>
        </is>
      </c>
      <c r="D191" s="246" t="inlineStr">
        <is>
          <t>Зпроч</t>
        </is>
      </c>
      <c r="E191" s="244" t="inlineStr">
        <is>
          <t>руб.</t>
        </is>
      </c>
      <c r="F191" s="233" t="n"/>
      <c r="G191" s="360" t="n"/>
      <c r="H191" s="228" t="n"/>
      <c r="I191" s="473" t="n"/>
      <c r="J191" s="310" t="n"/>
      <c r="K191" s="312" t="inlineStr">
        <is>
          <t>Вносится сразу экономический эффект в рублях. Требует обоснования (комментарий пишется в этой ячейке).
В пункт также вносятся дополнительные расходы (со знаком минус), возникшие в результате проекта и не отраженные выше.</t>
        </is>
      </c>
      <c r="L191" s="236" t="n"/>
    </row>
    <row r="192" outlineLevel="1">
      <c r="B192" s="267" t="n"/>
      <c r="C192" s="332" t="n"/>
      <c r="D192" s="332" t="n"/>
      <c r="E192" s="332" t="n"/>
      <c r="G192" s="235" t="n"/>
      <c r="H192" s="516" t="n"/>
      <c r="I192" s="286" t="n"/>
      <c r="J192" s="286" t="n"/>
      <c r="K192" s="267" t="n"/>
      <c r="L192" s="267" t="n"/>
      <c r="M192" s="235" t="n"/>
      <c r="N192" s="235" t="n"/>
      <c r="O192" s="235" t="n"/>
      <c r="P192" s="235" t="n"/>
      <c r="Q192" s="516" t="n"/>
      <c r="R192" s="286" t="n"/>
    </row>
    <row r="193" outlineLevel="1" ht="19.25" customHeight="1">
      <c r="B193" s="267" t="n"/>
      <c r="C193" s="344" t="inlineStr">
        <is>
          <t>Ставка НДС на готовую продукцию</t>
        </is>
      </c>
      <c r="D193" s="316" t="n"/>
      <c r="E193" s="343" t="n"/>
      <c r="F193" s="342" t="n"/>
      <c r="G193" s="511" t="n">
        <v>0.2</v>
      </c>
      <c r="H193" s="664" t="n"/>
      <c r="I193" s="354" t="inlineStr">
        <is>
          <t>Цели по Экономическому эффекту (ЭЭ):</t>
        </is>
      </c>
      <c r="K193" s="267" t="n"/>
      <c r="L193" s="267" t="n"/>
      <c r="M193" s="235" t="n"/>
      <c r="N193" s="235" t="n"/>
      <c r="O193" s="235" t="n"/>
      <c r="P193" s="235" t="n"/>
      <c r="Q193" s="516" t="n"/>
      <c r="R193" s="286" t="n"/>
    </row>
    <row r="194" outlineLevel="1" ht="19.25" customHeight="1">
      <c r="B194" s="267" t="n"/>
      <c r="C194" s="344" t="inlineStr">
        <is>
          <t>Влияние проекта на налоговые отчисления на горизонте трёх лет</t>
        </is>
      </c>
      <c r="D194" s="316" t="n"/>
      <c r="E194" s="241" t="inlineStr">
        <is>
          <t>руб.</t>
        </is>
      </c>
      <c r="F194" s="342" t="n"/>
      <c r="G194" s="666">
        <f>(G195*0.2+'Экономический эффект'!G12*G193)*3</f>
        <v/>
      </c>
      <c r="H194" s="667" t="n"/>
      <c r="I194" s="355" t="inlineStr">
        <is>
          <t>· Налоговые отчисления за три года - 6 млн.руб.</t>
        </is>
      </c>
      <c r="K194" s="267" t="n"/>
      <c r="L194" s="267" t="n"/>
      <c r="M194" s="235" t="n"/>
      <c r="N194" s="235" t="n"/>
      <c r="O194" s="235" t="n"/>
      <c r="P194" s="235" t="n"/>
      <c r="Q194" s="516" t="n"/>
      <c r="R194" s="286" t="n"/>
    </row>
    <row r="195" outlineLevel="1" ht="18.5" customHeight="1">
      <c r="B195" s="267" t="n"/>
      <c r="C195" s="315" t="inlineStr">
        <is>
          <t>Реальный экономический эффект</t>
        </is>
      </c>
      <c r="E195" s="316" t="inlineStr">
        <is>
          <t>руб.</t>
        </is>
      </c>
      <c r="G195" s="668">
        <f>'Экономический эффект'!G9</f>
        <v/>
      </c>
      <c r="H195" s="667" t="n"/>
      <c r="I195" s="355" t="inlineStr">
        <is>
          <t>· Реальный ЭЭ - 10 млн.руб.</t>
        </is>
      </c>
      <c r="K195" s="267" t="n"/>
      <c r="L195" s="267" t="n"/>
      <c r="M195" s="235" t="n"/>
      <c r="N195" s="235" t="n"/>
      <c r="O195" s="235" t="n"/>
      <c r="P195" s="235" t="n"/>
      <c r="Q195" s="516" t="n"/>
      <c r="R195" s="286" t="n"/>
    </row>
    <row r="196" outlineLevel="1" ht="18.5" customHeight="1">
      <c r="B196" s="267" t="n"/>
      <c r="C196" s="315" t="inlineStr">
        <is>
          <t>Потенциальный экономический эффект</t>
        </is>
      </c>
      <c r="D196" s="236" t="n"/>
      <c r="E196" s="316" t="inlineStr">
        <is>
          <t>руб.</t>
        </is>
      </c>
      <c r="F196" s="236" t="n"/>
      <c r="G196" s="668">
        <f>'Экономический эффект'!G10</f>
        <v/>
      </c>
      <c r="H196" s="667" t="n"/>
      <c r="I196" s="286" t="n"/>
      <c r="J196" s="286" t="n"/>
      <c r="K196" s="267" t="n"/>
      <c r="L196" s="267" t="n"/>
      <c r="M196" s="235" t="n"/>
      <c r="N196" s="235" t="n"/>
      <c r="O196" s="235" t="n"/>
      <c r="P196" s="235" t="n"/>
      <c r="Q196" s="516" t="n"/>
      <c r="R196" s="286" t="n"/>
    </row>
    <row r="197" outlineLevel="1" ht="18.5" customHeight="1">
      <c r="B197" s="267" t="n"/>
      <c r="C197" s="315" t="inlineStr">
        <is>
          <t>Высвобождение денежных средств</t>
        </is>
      </c>
      <c r="E197" s="316" t="inlineStr">
        <is>
          <t>руб.</t>
        </is>
      </c>
      <c r="G197" s="508">
        <f>'Экономический эффект'!G11</f>
        <v/>
      </c>
      <c r="H197" s="669" t="n"/>
      <c r="I197" s="286" t="n"/>
      <c r="J197" s="286" t="n"/>
      <c r="K197" s="267" t="n"/>
      <c r="L197" s="267" t="n"/>
      <c r="M197" s="235" t="n"/>
      <c r="N197" s="235" t="n"/>
      <c r="O197" s="235" t="n"/>
      <c r="P197" s="235" t="n"/>
      <c r="Q197" s="516" t="n"/>
      <c r="R197" s="286" t="n"/>
    </row>
    <row r="198" outlineLevel="1">
      <c r="B198" s="267" t="n"/>
      <c r="C198" s="332" t="n"/>
      <c r="D198" s="332" t="n"/>
      <c r="E198" s="332" t="n"/>
      <c r="G198" s="235" t="n"/>
      <c r="H198" s="516" t="n"/>
      <c r="I198" s="286" t="n"/>
      <c r="J198" s="286" t="n"/>
      <c r="K198" s="267" t="n"/>
      <c r="L198" s="267" t="n"/>
      <c r="M198" s="235" t="n"/>
      <c r="N198" s="235" t="n"/>
      <c r="O198" s="235" t="n"/>
      <c r="P198" s="235" t="n"/>
      <c r="Q198" s="516" t="n"/>
      <c r="R198" s="286" t="n"/>
    </row>
    <row r="199" outlineLevel="1" ht="14" customHeight="1">
      <c r="B199" s="267" t="n"/>
      <c r="C199" s="401" t="inlineStr">
        <is>
          <t>Предприятие с размером эффекта согласно</t>
        </is>
      </c>
      <c r="D199" s="332" t="n"/>
      <c r="E199" s="332" t="n"/>
      <c r="G199" s="401" t="n"/>
      <c r="H199" s="516" t="n"/>
      <c r="I199" s="286" t="n"/>
      <c r="J199" s="286" t="n"/>
      <c r="K199" s="267" t="n"/>
      <c r="L199" s="267" t="n"/>
      <c r="M199" s="235" t="n"/>
      <c r="N199" s="235" t="n"/>
      <c r="O199" s="235" t="n"/>
      <c r="P199" s="235" t="n"/>
      <c r="Q199" s="516" t="n"/>
      <c r="R199" s="286" t="n"/>
    </row>
    <row r="200" outlineLevel="1" ht="37.25" customHeight="1">
      <c r="B200" s="267" t="n"/>
      <c r="C200" s="403" t="inlineStr">
        <is>
          <t>__________________ /_______________/</t>
        </is>
      </c>
      <c r="D200" s="333" t="n"/>
      <c r="E200" s="519" t="inlineStr">
        <is>
          <t>Федеральный центр компетенций обязуется обрабатывать представленную информацию в режиме коммерческой тайны в соответствии с условиями подписанного Сторонами Соглашения о конфиденциальности и неразглашении информации (коммерческая тайна), которое является Приложением №3 к Соглашению о сотрудничестве</t>
        </is>
      </c>
      <c r="I200" s="286" t="n"/>
      <c r="J200" s="286" t="n"/>
      <c r="K200" s="267" t="n"/>
      <c r="L200" s="267" t="n"/>
      <c r="M200" s="235" t="n"/>
      <c r="N200" s="235" t="n"/>
      <c r="O200" s="235" t="n"/>
      <c r="P200" s="235" t="n"/>
      <c r="Q200" s="516" t="n"/>
      <c r="R200" s="286" t="n"/>
    </row>
    <row r="201" outlineLevel="1" ht="18" customHeight="1">
      <c r="B201" s="267" t="n"/>
      <c r="C201" s="402" t="inlineStr">
        <is>
          <t xml:space="preserve">                                              М.П.</t>
        </is>
      </c>
      <c r="D201" s="333" t="n"/>
      <c r="I201" s="286" t="n"/>
      <c r="J201" s="286" t="n"/>
      <c r="K201" s="267" t="n"/>
      <c r="L201" s="267" t="n"/>
      <c r="M201" s="235" t="n"/>
      <c r="N201" s="235" t="n"/>
      <c r="O201" s="235" t="n"/>
      <c r="P201" s="235" t="n"/>
      <c r="Q201" s="516" t="n"/>
      <c r="R201" s="286" t="n"/>
    </row>
    <row r="202" outlineLevel="1" ht="33" customHeight="1">
      <c r="B202" s="267" t="n"/>
      <c r="C202" s="404" t="inlineStr">
        <is>
          <t>«___» ___________ 20___ г.</t>
        </is>
      </c>
      <c r="D202" s="333" t="n"/>
      <c r="I202" s="286" t="n"/>
      <c r="J202" s="286" t="n"/>
      <c r="K202" s="267" t="n"/>
      <c r="L202" s="267" t="n"/>
      <c r="M202" s="235" t="n"/>
      <c r="N202" s="235" t="n"/>
      <c r="O202" s="235" t="n"/>
      <c r="P202" s="235" t="n"/>
      <c r="Q202" s="516" t="n"/>
      <c r="R202" s="286" t="n"/>
    </row>
    <row r="203" outlineLevel="1">
      <c r="B203" s="267" t="n"/>
      <c r="C203" s="267" t="n"/>
      <c r="G203" s="235" t="n"/>
      <c r="H203" s="516" t="n"/>
      <c r="I203" s="286" t="n"/>
      <c r="J203" s="286" t="n"/>
      <c r="K203" s="267" t="n"/>
      <c r="L203" s="267" t="n"/>
      <c r="M203" s="235" t="n"/>
      <c r="N203" s="235" t="n"/>
      <c r="O203" s="235" t="n"/>
      <c r="P203" s="235" t="n"/>
      <c r="Q203" s="516" t="n"/>
      <c r="R203" s="286" t="n"/>
    </row>
    <row r="204">
      <c r="B204" s="267" t="n"/>
      <c r="C204" s="267" t="n"/>
      <c r="G204" s="235" t="n"/>
      <c r="H204" s="235" t="n"/>
      <c r="I204" s="516" t="n"/>
      <c r="J204" s="516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lFd/O1o8Kl1gSCPKR8XWCg==" formatRows="0" sort="1" spinCount="100000" hashValue="hUU1EFAdvhI+Y1zpl8kY3y/RN3WT8dYAsu6G1+TqoFRsXWwJG2ohh0zT8kZxe2immuG1vhVs76t2QV6Y9YOSQw=="/>
  <autoFilter ref="A16:K192">
    <filterColumn colId="5" hiddenButton="0" showButton="1">
      <colorFilter dxfId="837"/>
    </filterColumn>
  </autoFilter>
  <mergeCells count="20">
    <mergeCell ref="I11:J11"/>
    <mergeCell ref="E7:H7"/>
    <mergeCell ref="G194:H194"/>
    <mergeCell ref="D13:E13"/>
    <mergeCell ref="B4:H4"/>
    <mergeCell ref="E12:H12"/>
    <mergeCell ref="E5:H5"/>
    <mergeCell ref="E200:H202"/>
    <mergeCell ref="G196:H196"/>
    <mergeCell ref="I12:J12"/>
    <mergeCell ref="E8:H8"/>
    <mergeCell ref="G195:H195"/>
    <mergeCell ref="E10:H10"/>
    <mergeCell ref="G197:H197"/>
    <mergeCell ref="E9:H9"/>
    <mergeCell ref="I10:J10"/>
    <mergeCell ref="E6:H6"/>
    <mergeCell ref="G193:H193"/>
    <mergeCell ref="E11:H11"/>
    <mergeCell ref="I9:J9"/>
  </mergeCells>
  <conditionalFormatting sqref="H32">
    <cfRule type="expression" priority="775" dxfId="101">
      <formula>$G$30="нет"</formula>
    </cfRule>
  </conditionalFormatting>
  <conditionalFormatting sqref="H36">
    <cfRule type="expression" priority="773" dxfId="101">
      <formula>$G$34="нет"</formula>
    </cfRule>
  </conditionalFormatting>
  <conditionalFormatting sqref="H92">
    <cfRule type="expression" priority="769" dxfId="101">
      <formula>$G$90="нет"</formula>
    </cfRule>
  </conditionalFormatting>
  <conditionalFormatting sqref="B146:D147 F146:H147">
    <cfRule type="expression" priority="768" dxfId="101">
      <formula>OR($G$145="",$G$145="нет")</formula>
    </cfRule>
  </conditionalFormatting>
  <conditionalFormatting sqref="B148:D148 F148:H148">
    <cfRule type="expression" priority="767" dxfId="101">
      <formula>$G$145=""</formula>
    </cfRule>
  </conditionalFormatting>
  <conditionalFormatting sqref="B149:D160 F149:H160">
    <cfRule type="expression" priority="766" dxfId="101">
      <formula>$G$148="нет"</formula>
    </cfRule>
  </conditionalFormatting>
  <conditionalFormatting sqref="B161:D161 F161:H161">
    <cfRule type="expression" priority="765" dxfId="101">
      <formula>IF($G$148="да",$G$158="",$G$148="")</formula>
    </cfRule>
  </conditionalFormatting>
  <conditionalFormatting sqref="B149:D149 F149:H149">
    <cfRule type="expression" priority="764" dxfId="101">
      <formula>OR($G$148="",$G$148="нет")</formula>
    </cfRule>
  </conditionalFormatting>
  <conditionalFormatting sqref="B150:D151 F150:H151">
    <cfRule type="expression" priority="763" dxfId="101">
      <formula>OR($G$149="нет",$G$149="")</formula>
    </cfRule>
  </conditionalFormatting>
  <conditionalFormatting sqref="B152:D152 F152:H152">
    <cfRule type="expression" priority="762" dxfId="101">
      <formula>$G$149=""</formula>
    </cfRule>
  </conditionalFormatting>
  <conditionalFormatting sqref="B153:D154 F153:H154">
    <cfRule type="expression" priority="761" dxfId="101">
      <formula>OR($G$152="",$G$152="нет")</formula>
    </cfRule>
  </conditionalFormatting>
  <conditionalFormatting sqref="B155:D155 F155:H155">
    <cfRule type="expression" priority="760" dxfId="101">
      <formula>$G$152=""</formula>
    </cfRule>
  </conditionalFormatting>
  <conditionalFormatting sqref="B156:D157 F156:H157">
    <cfRule type="expression" priority="759" dxfId="101">
      <formula>OR($G$155="",$G$155="нет")</formula>
    </cfRule>
  </conditionalFormatting>
  <conditionalFormatting sqref="B158:D158 F158:H158">
    <cfRule type="expression" priority="758" dxfId="101">
      <formula>$G$155=""</formula>
    </cfRule>
  </conditionalFormatting>
  <conditionalFormatting sqref="B159:D160 F159:H160">
    <cfRule type="expression" priority="757" dxfId="101">
      <formula>OR($G$158="нет",$G$158="")</formula>
    </cfRule>
  </conditionalFormatting>
  <conditionalFormatting sqref="B162:D162 F162:H162">
    <cfRule type="expression" priority="756" dxfId="101">
      <formula>OR($G$161="",$G$161="нет")</formula>
    </cfRule>
  </conditionalFormatting>
  <conditionalFormatting sqref="B163:D164 F163:H164">
    <cfRule type="expression" priority="755" dxfId="101">
      <formula>$G$161=""</formula>
    </cfRule>
  </conditionalFormatting>
  <conditionalFormatting sqref="B165:D168 F165:H168">
    <cfRule type="expression" priority="754" dxfId="101">
      <formula>OR($G$164="",$G$164="нет")</formula>
    </cfRule>
  </conditionalFormatting>
  <conditionalFormatting sqref="B169:D169 F169:H169">
    <cfRule type="expression" priority="753" dxfId="101">
      <formula>OR($G$164="",IF($G$164="да",$G$166="",$G$164))</formula>
    </cfRule>
  </conditionalFormatting>
  <conditionalFormatting sqref="B167:D167 F167:H167">
    <cfRule type="expression" priority="752" dxfId="101">
      <formula>OR($G$166="",$G$166="да")</formula>
    </cfRule>
  </conditionalFormatting>
  <conditionalFormatting sqref="B168:D168 F168:H168">
    <cfRule type="expression" priority="751" dxfId="101">
      <formula>OR($G$166="",$G$166="нет")</formula>
    </cfRule>
  </conditionalFormatting>
  <conditionalFormatting sqref="B171:D171 F170:H171">
    <cfRule type="expression" priority="750" dxfId="101">
      <formula>OR($G$169="",$G$169="нет")</formula>
    </cfRule>
  </conditionalFormatting>
  <conditionalFormatting sqref="B172:D173 F172:H173">
    <cfRule type="expression" priority="749" dxfId="101">
      <formula>$G$169=""</formula>
    </cfRule>
  </conditionalFormatting>
  <conditionalFormatting sqref="B174:D175 F174:H175">
    <cfRule type="expression" priority="748" dxfId="101">
      <formula>OR($G$173="",$G$173="нет")</formula>
    </cfRule>
  </conditionalFormatting>
  <conditionalFormatting sqref="B176:D176 F176">
    <cfRule type="expression" priority="747" dxfId="101">
      <formula>OR($G$173="",$G$173="да")</formula>
    </cfRule>
  </conditionalFormatting>
  <conditionalFormatting sqref="B177:D177 F177:H177">
    <cfRule type="expression" priority="746" dxfId="101">
      <formula>$G$173=""</formula>
    </cfRule>
  </conditionalFormatting>
  <conditionalFormatting sqref="B178:D178 F178:H178">
    <cfRule type="expression" priority="745" dxfId="101">
      <formula>$G$177=""</formula>
    </cfRule>
  </conditionalFormatting>
  <conditionalFormatting sqref="B178:D181 F178:H181">
    <cfRule type="expression" priority="744" dxfId="101">
      <formula>$G$177="нет"</formula>
    </cfRule>
  </conditionalFormatting>
  <conditionalFormatting sqref="B179:D181 F179:H181">
    <cfRule type="expression" priority="740" dxfId="101">
      <formula>$G$178=""</formula>
    </cfRule>
    <cfRule type="expression" priority="743" dxfId="101">
      <formula>$G$177=""</formula>
    </cfRule>
  </conditionalFormatting>
  <conditionalFormatting sqref="B179:D180 F179:H180">
    <cfRule type="expression" priority="742" dxfId="101">
      <formula>$G$178="нет"</formula>
    </cfRule>
  </conditionalFormatting>
  <conditionalFormatting sqref="B181:D181 F181:H181">
    <cfRule type="expression" priority="741" dxfId="101">
      <formula>$G$178="да"</formula>
    </cfRule>
  </conditionalFormatting>
  <conditionalFormatting sqref="B186:D187 F186:H189">
    <cfRule type="expression" priority="739" dxfId="101">
      <formula>$G$182=""</formula>
    </cfRule>
  </conditionalFormatting>
  <conditionalFormatting sqref="B186:D186 F186:H186">
    <cfRule type="expression" priority="737" dxfId="101">
      <formula>$G$182="нет"</formula>
    </cfRule>
    <cfRule type="expression" priority="736" dxfId="101">
      <formula>$G$71="да"</formula>
    </cfRule>
  </conditionalFormatting>
  <conditionalFormatting sqref="B188:D189">
    <cfRule type="expression" priority="734" dxfId="101">
      <formula>$G$182=""</formula>
    </cfRule>
  </conditionalFormatting>
  <conditionalFormatting sqref="B190:D191 F190:H191">
    <cfRule type="expression" priority="733" dxfId="101">
      <formula>OR($G$189="",$G$189="нет")</formula>
    </cfRule>
  </conditionalFormatting>
  <conditionalFormatting sqref="B66:D69 B71:K72 B73:D73 B78:K88 B90:K121 B122:D122 B123:K143 F66:H69">
    <cfRule type="expression" priority="732" dxfId="101">
      <formula>OR($G$17="нет",$G$17="")</formula>
    </cfRule>
  </conditionalFormatting>
  <conditionalFormatting sqref="B18:D20 B23:D54 B55:K65 E23:E24 E26:H53 F18:H24 I23:K53">
    <cfRule type="expression" priority="731" dxfId="101">
      <formula>OR($G$17="",$G$17="да")</formula>
    </cfRule>
  </conditionalFormatting>
  <conditionalFormatting sqref="B182:D182 F182:H182">
    <cfRule type="expression" priority="730" dxfId="101">
      <formula>OR($G$177="",IF($G$177="да",$G$178="",$G$177="да"))</formula>
    </cfRule>
  </conditionalFormatting>
  <conditionalFormatting sqref="B20:D20 F20:H22">
    <cfRule type="expression" priority="729" dxfId="101">
      <formula>OR($G$19="",$G$19="нет")</formula>
    </cfRule>
  </conditionalFormatting>
  <conditionalFormatting sqref="B23:D23 F23:H23">
    <cfRule type="expression" priority="728" dxfId="101">
      <formula>$G$19=""</formula>
    </cfRule>
  </conditionalFormatting>
  <conditionalFormatting sqref="B24:D28 E26:H28 F24:H24">
    <cfRule type="expression" priority="727" dxfId="101">
      <formula>OR($G$23="",$G$23="нет")</formula>
    </cfRule>
  </conditionalFormatting>
  <conditionalFormatting sqref="B29:D29 F29:H29">
    <cfRule type="expression" priority="726" dxfId="101">
      <formula>OR($G$28="",$G$28="нет")</formula>
    </cfRule>
  </conditionalFormatting>
  <conditionalFormatting sqref="B30:D30 F30:H32">
    <cfRule type="expression" priority="725" dxfId="101">
      <formula>OR($G$29="",$G$29="нет")</formula>
    </cfRule>
  </conditionalFormatting>
  <conditionalFormatting sqref="B31:D32">
    <cfRule type="expression" priority="724" dxfId="101">
      <formula>OR($G$29="",$G$29="нет")</formula>
    </cfRule>
  </conditionalFormatting>
  <conditionalFormatting sqref="B33:D33 F33:H33">
    <cfRule type="expression" priority="721" dxfId="101">
      <formula>IF($G$28="да",$G$29="",$G$28="да")</formula>
    </cfRule>
    <cfRule type="expression" priority="723" dxfId="101">
      <formula>$G$28=""</formula>
    </cfRule>
  </conditionalFormatting>
  <conditionalFormatting sqref="B34:D36 F34:H36">
    <cfRule type="expression" priority="719" dxfId="101">
      <formula>OR($G$33="",$G$33="нет")</formula>
    </cfRule>
  </conditionalFormatting>
  <conditionalFormatting sqref="B37:D37 F37:H37">
    <cfRule type="expression" priority="718" dxfId="101">
      <formula>OR($G$33="",IF($G$33="да",$G$34="",$G$33="да"))</formula>
    </cfRule>
  </conditionalFormatting>
  <conditionalFormatting sqref="B38:D49 F38:H49">
    <cfRule type="expression" priority="717" dxfId="101">
      <formula>OR($G$37="",$G$37="нет")</formula>
    </cfRule>
  </conditionalFormatting>
  <conditionalFormatting sqref="B39:D40 F39:H40">
    <cfRule type="expression" priority="716" dxfId="101">
      <formula>OR($G$38="",$G$38="нет")</formula>
    </cfRule>
  </conditionalFormatting>
  <conditionalFormatting sqref="B41:D41 F41:H41">
    <cfRule type="expression" priority="715" dxfId="101">
      <formula>$G$38=""</formula>
    </cfRule>
  </conditionalFormatting>
  <conditionalFormatting sqref="B42:D43 F42:H43">
    <cfRule type="expression" priority="714" dxfId="101">
      <formula>OR($G$41="",$G$41="нет")</formula>
    </cfRule>
  </conditionalFormatting>
  <conditionalFormatting sqref="B44:D44 F44:H44">
    <cfRule type="expression" priority="713" dxfId="101">
      <formula>$G$41=""</formula>
    </cfRule>
  </conditionalFormatting>
  <conditionalFormatting sqref="B45:D46 F45:H46">
    <cfRule type="expression" priority="712" dxfId="101">
      <formula>OR($G$44="",$G$44="нет")</formula>
    </cfRule>
  </conditionalFormatting>
  <conditionalFormatting sqref="B47:D47 F47:H47">
    <cfRule type="expression" priority="711" dxfId="101">
      <formula>$G$44=""</formula>
    </cfRule>
  </conditionalFormatting>
  <conditionalFormatting sqref="B48:D49 F48:H49">
    <cfRule type="expression" priority="710" dxfId="101">
      <formula>OR($G$47="",$G$47="нет")</formula>
    </cfRule>
  </conditionalFormatting>
  <conditionalFormatting sqref="B50:D54 B55:K65 F50:H53">
    <cfRule type="expression" priority="709" dxfId="101">
      <formula>OR($G$23="",$G$23="да")</formula>
    </cfRule>
  </conditionalFormatting>
  <conditionalFormatting sqref="B52:D53 B56:K57 F52:H53">
    <cfRule type="expression" priority="708" dxfId="101">
      <formula>OR($G$51="",$G$51="нет")</formula>
    </cfRule>
  </conditionalFormatting>
  <conditionalFormatting sqref="B58:D58 F58:H58">
    <cfRule type="expression" priority="704" dxfId="101">
      <formula>IF($G$51="да",$G$52="",$G$51="да")</formula>
    </cfRule>
    <cfRule type="expression" priority="707" dxfId="101">
      <formula>$G$51=""</formula>
    </cfRule>
  </conditionalFormatting>
  <conditionalFormatting sqref="B53:D53 B56:K57 F53:H53">
    <cfRule type="expression" priority="706" dxfId="101">
      <formula>OR($G$52="",$G$52="нет")</formula>
    </cfRule>
  </conditionalFormatting>
  <conditionalFormatting sqref="B59:D61 F59:H61">
    <cfRule type="expression" priority="703" dxfId="101">
      <formula>OR($G$58="",$G$58="нет")</formula>
    </cfRule>
  </conditionalFormatting>
  <conditionalFormatting sqref="B61:D61 F61:H61">
    <cfRule type="expression" priority="701" dxfId="101">
      <formula>OR($G$60="",$G$60="нет")</formula>
    </cfRule>
  </conditionalFormatting>
  <conditionalFormatting sqref="B62:D62 F62:H62">
    <cfRule type="expression" priority="700" dxfId="101">
      <formula>OR($G$58="",IF($G$58="да",$G$60="",$G$58="да"))</formula>
    </cfRule>
  </conditionalFormatting>
  <conditionalFormatting sqref="B63:D65 F63:H65">
    <cfRule type="expression" priority="699" dxfId="101">
      <formula>OR($G$62="",$G$62="нет")</formula>
    </cfRule>
  </conditionalFormatting>
  <conditionalFormatting sqref="B65:D65 F65:H65">
    <cfRule type="expression" priority="698" dxfId="101">
      <formula>OR($G$64="",$G$64="нет")</formula>
    </cfRule>
  </conditionalFormatting>
  <conditionalFormatting sqref="B68:D69 B71:K72 B73:D73 B78:K88 B90:K115 F68:H69">
    <cfRule type="expression" priority="697" dxfId="101">
      <formula>OR($G$67="",$G$67="нет")</formula>
    </cfRule>
  </conditionalFormatting>
  <conditionalFormatting sqref="B116:D121 B123:K143 F116:H122">
    <cfRule type="expression" priority="694" dxfId="101">
      <formula>OR($G$67="",$G$67="да")</formula>
    </cfRule>
  </conditionalFormatting>
  <conditionalFormatting sqref="B71:D72 B78:K83 F71:H72">
    <cfRule type="expression" priority="691" dxfId="101">
      <formula>OR($G$69="",AND($G$69="нет",$G$70="нет"),AND($G$69="нет",$G$70=""))</formula>
    </cfRule>
  </conditionalFormatting>
  <conditionalFormatting sqref="B111:D115 F72:H72 F111:H115">
    <cfRule type="expression" priority="689" dxfId="101">
      <formula>OR($G$71="",$G$71="да")</formula>
    </cfRule>
  </conditionalFormatting>
  <conditionalFormatting sqref="B78:D80 F78:H80">
    <cfRule type="expression" priority="687" dxfId="101">
      <formula>$G$76=""</formula>
    </cfRule>
    <cfRule type="expression" priority="686" dxfId="101">
      <formula>$G$76="нет"</formula>
    </cfRule>
  </conditionalFormatting>
  <conditionalFormatting sqref="B90:D92 F90:H92">
    <cfRule type="expression" priority="685" dxfId="101">
      <formula>OR($G$89="",$G$89="нет")</formula>
    </cfRule>
  </conditionalFormatting>
  <conditionalFormatting sqref="B93:D93 F93:H93">
    <cfRule type="expression" priority="684" dxfId="101">
      <formula>OR($G$89="",AND($G$89="да",$G$90=""))</formula>
    </cfRule>
  </conditionalFormatting>
  <conditionalFormatting sqref="B94:D105 F94:H105">
    <cfRule type="expression" priority="683" dxfId="101">
      <formula>OR($G$93="",$G$93="нет")</formula>
    </cfRule>
  </conditionalFormatting>
  <conditionalFormatting sqref="B106:D106 F106:H106">
    <cfRule type="expression" priority="682" dxfId="101">
      <formula>OR($G$93="",AND($G$93="да",$G$103=""))</formula>
    </cfRule>
  </conditionalFormatting>
  <conditionalFormatting sqref="B95:D96 F95:H96">
    <cfRule type="expression" priority="681" dxfId="101">
      <formula>OR($G$94="",$G$94="нет")</formula>
    </cfRule>
  </conditionalFormatting>
  <conditionalFormatting sqref="B97:D97 F97:H97">
    <cfRule type="expression" priority="680" dxfId="101">
      <formula>$G$94=""</formula>
    </cfRule>
  </conditionalFormatting>
  <conditionalFormatting sqref="B98:D99 F98:H99">
    <cfRule type="expression" priority="679" dxfId="101">
      <formula>OR($G$97="",$G$97="нет")</formula>
    </cfRule>
  </conditionalFormatting>
  <conditionalFormatting sqref="B100:D100 F100:H100">
    <cfRule type="expression" priority="678" dxfId="101">
      <formula>$G$97=""</formula>
    </cfRule>
  </conditionalFormatting>
  <conditionalFormatting sqref="B101:D102 F101:H102">
    <cfRule type="expression" priority="677" dxfId="101">
      <formula>OR($G$100="",$G$100="нет")</formula>
    </cfRule>
  </conditionalFormatting>
  <conditionalFormatting sqref="B103:D103 F103:H103">
    <cfRule type="expression" priority="676" dxfId="101">
      <formula>$G$100=""</formula>
    </cfRule>
  </conditionalFormatting>
  <conditionalFormatting sqref="B104:D105 F104:H105">
    <cfRule type="expression" priority="675" dxfId="101">
      <formula>OR($G$103="",$G$103="нет")</formula>
    </cfRule>
  </conditionalFormatting>
  <conditionalFormatting sqref="B107:D110 F107:H110">
    <cfRule type="expression" priority="674" dxfId="101">
      <formula>OR($G$106="",$G$106="нет")</formula>
    </cfRule>
  </conditionalFormatting>
  <conditionalFormatting sqref="B108:D110 F108:H110">
    <cfRule type="expression" priority="673" dxfId="101">
      <formula>OR($G$107="",$G$107="нет")</formula>
    </cfRule>
  </conditionalFormatting>
  <conditionalFormatting sqref="B72:D72">
    <cfRule type="expression" priority="672" dxfId="101">
      <formula>OR($G$71="",$G$71="да")</formula>
    </cfRule>
  </conditionalFormatting>
  <conditionalFormatting sqref="B111:D112 F111:H112">
    <cfRule type="expression" priority="669" dxfId="101">
      <formula>AND($G$107="да",$G$108="")</formula>
    </cfRule>
    <cfRule type="expression" priority="670" dxfId="101">
      <formula>AND($G$106="да",$G$107="")</formula>
    </cfRule>
    <cfRule type="expression" priority="671" dxfId="101">
      <formula>$G$106=""</formula>
    </cfRule>
  </conditionalFormatting>
  <conditionalFormatting sqref="B113:D115 F113:H115">
    <cfRule type="expression" priority="668" dxfId="101">
      <formula>OR($G$112="",$G$112="нет")</formula>
    </cfRule>
  </conditionalFormatting>
  <conditionalFormatting sqref="B144:D144 F144:H144">
    <cfRule type="expression" priority="626" dxfId="101">
      <formula>$G$17=""</formula>
    </cfRule>
    <cfRule type="expression" priority="627" dxfId="101">
      <formula>AND($G$17="нет",$G$23="")</formula>
    </cfRule>
    <cfRule type="expression" priority="628" dxfId="101">
      <formula>AND($G$62="да",$G$64="")</formula>
    </cfRule>
    <cfRule type="expression" priority="629" dxfId="101">
      <formula>AND($G$23="нет",$G$62="")</formula>
    </cfRule>
    <cfRule type="expression" priority="630" dxfId="101">
      <formula>AND($G$23="да",$G$37="")</formula>
    </cfRule>
    <cfRule type="expression" priority="631" dxfId="101">
      <formula>AND($G$37="да",$G$47="")</formula>
    </cfRule>
    <cfRule type="expression" priority="633" dxfId="101">
      <formula>AND($G$17="да",$G$67="")</formula>
    </cfRule>
    <cfRule type="expression" priority="646" dxfId="101">
      <formula>AND($G$129="да",$G$140="")</formula>
    </cfRule>
    <cfRule type="expression" priority="647" dxfId="101">
      <formula>AND($G$129="да",$G$140="да",$G$142="")</formula>
    </cfRule>
    <cfRule type="expression" priority="651" dxfId="101">
      <formula>AND($G$67="нет",$G$129="")</formula>
    </cfRule>
    <cfRule type="expression" priority="662" dxfId="101">
      <formula>AND($G$107="да",$G$108="")</formula>
    </cfRule>
    <cfRule type="expression" priority="665" dxfId="101">
      <formula>AND($G$106="да",$G$107="")</formula>
    </cfRule>
    <cfRule type="expression" priority="666" dxfId="101">
      <formula>AND($G$71="да",$G$106="")</formula>
    </cfRule>
    <cfRule type="expression" priority="667" dxfId="101">
      <formula>AND($G$71="нет",$G$112="")</formula>
    </cfRule>
  </conditionalFormatting>
  <conditionalFormatting sqref="B118:D121 B123:K127 F118:H122">
    <cfRule type="expression" priority="661" dxfId="101">
      <formula>$G$117=""</formula>
    </cfRule>
  </conditionalFormatting>
  <conditionalFormatting sqref="B119:D121 B123:K127 F119:H122">
    <cfRule type="expression" priority="660" dxfId="101">
      <formula>OR(AND($G$117="нет",$G$118=""),AND($G$117="нет",$G$118="нет"))</formula>
    </cfRule>
  </conditionalFormatting>
  <conditionalFormatting sqref="B128:D129 F128:H129">
    <cfRule type="expression" priority="632" dxfId="101">
      <formula>$G$117=""</formula>
    </cfRule>
    <cfRule type="expression" priority="659" dxfId="101">
      <formula>AND($G$117="нет",$G$118="")</formula>
    </cfRule>
  </conditionalFormatting>
  <conditionalFormatting sqref="B118:D118 F118:H118">
    <cfRule type="expression" priority="655" dxfId="101">
      <formula>$G$117="да"</formula>
    </cfRule>
  </conditionalFormatting>
  <conditionalFormatting sqref="B123:D125 F123:H125">
    <cfRule type="expression" priority="654" dxfId="101">
      <formula>OR($G$121="",$G$121="нет")</formula>
    </cfRule>
  </conditionalFormatting>
  <conditionalFormatting sqref="B130:D143 F130:H143">
    <cfRule type="expression" priority="653" dxfId="101">
      <formula>OR($G$129="",$G$129="нет")</formula>
    </cfRule>
  </conditionalFormatting>
  <conditionalFormatting sqref="B131:D135 F131:H135">
    <cfRule type="expression" priority="645" dxfId="101">
      <formula>OR($G$130="",$G$130="нет")</formula>
    </cfRule>
  </conditionalFormatting>
  <conditionalFormatting sqref="B132:D135 F132:H135">
    <cfRule type="expression" priority="644" dxfId="101">
      <formula>OR($G$131="",$G$131="нет")</formula>
    </cfRule>
  </conditionalFormatting>
  <conditionalFormatting sqref="B136:D136 F136:H136">
    <cfRule type="expression" priority="641" dxfId="101">
      <formula>AND($G$130="да",$G$131="")</formula>
    </cfRule>
    <cfRule type="expression" priority="643" dxfId="101">
      <formula>$G$130=""</formula>
    </cfRule>
  </conditionalFormatting>
  <conditionalFormatting sqref="B137:D139 F137:H139">
    <cfRule type="expression" priority="640" dxfId="101">
      <formula>OR($G$136="",$G$136="нет")</formula>
    </cfRule>
  </conditionalFormatting>
  <conditionalFormatting sqref="B139:D139 F139:H139">
    <cfRule type="expression" priority="639" dxfId="101">
      <formula>OR($G$138="",$G$138="нет")</formula>
    </cfRule>
  </conditionalFormatting>
  <conditionalFormatting sqref="B140:D140 F140:H140">
    <cfRule type="expression" priority="634" dxfId="101">
      <formula>$G$136=""</formula>
    </cfRule>
    <cfRule type="expression" priority="635" dxfId="101">
      <formula>$G$130=""</formula>
    </cfRule>
    <cfRule type="expression" priority="638" dxfId="101">
      <formula>AND($G$136="да",$G$138="")</formula>
    </cfRule>
  </conditionalFormatting>
  <conditionalFormatting sqref="B141:D143 F141:H143">
    <cfRule type="expression" priority="637" dxfId="101">
      <formula>OR($G$140="",$G$140="нет")</formula>
    </cfRule>
  </conditionalFormatting>
  <conditionalFormatting sqref="B143:D143 F143:H143">
    <cfRule type="expression" priority="636" dxfId="101">
      <formula>OR($G$142="",$G$142="нет")</formula>
    </cfRule>
  </conditionalFormatting>
  <conditionalFormatting sqref="E146:E147">
    <cfRule type="expression" priority="625" dxfId="101">
      <formula>OR($G$145="",$G$145="нет")</formula>
    </cfRule>
  </conditionalFormatting>
  <conditionalFormatting sqref="E148">
    <cfRule type="expression" priority="624" dxfId="101">
      <formula>$G$145=""</formula>
    </cfRule>
  </conditionalFormatting>
  <conditionalFormatting sqref="E149:E160">
    <cfRule type="expression" priority="623" dxfId="101">
      <formula>$G$148="нет"</formula>
    </cfRule>
  </conditionalFormatting>
  <conditionalFormatting sqref="E161">
    <cfRule type="expression" priority="622" dxfId="101">
      <formula>IF($G$148="да",$G$158="",$G$148="")</formula>
    </cfRule>
  </conditionalFormatting>
  <conditionalFormatting sqref="E149">
    <cfRule type="expression" priority="621" dxfId="101">
      <formula>OR($G$148="",$G$148="нет")</formula>
    </cfRule>
  </conditionalFormatting>
  <conditionalFormatting sqref="E150:E151">
    <cfRule type="expression" priority="620" dxfId="101">
      <formula>OR($G$149="нет",$G$149="")</formula>
    </cfRule>
  </conditionalFormatting>
  <conditionalFormatting sqref="E152">
    <cfRule type="expression" priority="619" dxfId="101">
      <formula>$G$149=""</formula>
    </cfRule>
  </conditionalFormatting>
  <conditionalFormatting sqref="E153:E154">
    <cfRule type="expression" priority="618" dxfId="101">
      <formula>OR($G$152="",$G$152="нет")</formula>
    </cfRule>
  </conditionalFormatting>
  <conditionalFormatting sqref="E155">
    <cfRule type="expression" priority="617" dxfId="101">
      <formula>$G$152=""</formula>
    </cfRule>
  </conditionalFormatting>
  <conditionalFormatting sqref="E156:E157">
    <cfRule type="expression" priority="616" dxfId="101">
      <formula>OR($G$155="",$G$155="нет")</formula>
    </cfRule>
  </conditionalFormatting>
  <conditionalFormatting sqref="E158">
    <cfRule type="expression" priority="615" dxfId="101">
      <formula>$G$155=""</formula>
    </cfRule>
  </conditionalFormatting>
  <conditionalFormatting sqref="E159:E160">
    <cfRule type="expression" priority="614" dxfId="101">
      <formula>OR($G$158="нет",$G$158="")</formula>
    </cfRule>
  </conditionalFormatting>
  <conditionalFormatting sqref="E162">
    <cfRule type="expression" priority="613" dxfId="101">
      <formula>OR($G$161="",$G$161="нет")</formula>
    </cfRule>
  </conditionalFormatting>
  <conditionalFormatting sqref="E163:E164">
    <cfRule type="expression" priority="612" dxfId="101">
      <formula>$G$161=""</formula>
    </cfRule>
  </conditionalFormatting>
  <conditionalFormatting sqref="E165:E168">
    <cfRule type="expression" priority="611" dxfId="101">
      <formula>OR($G$164="",$G$164="нет")</formula>
    </cfRule>
  </conditionalFormatting>
  <conditionalFormatting sqref="E169">
    <cfRule type="expression" priority="610" dxfId="101">
      <formula>OR($G$164="",IF($G$164="да",$G$166="",$G$164))</formula>
    </cfRule>
  </conditionalFormatting>
  <conditionalFormatting sqref="E167">
    <cfRule type="expression" priority="609" dxfId="101">
      <formula>OR($G$166="",$G$166="да")</formula>
    </cfRule>
  </conditionalFormatting>
  <conditionalFormatting sqref="E168">
    <cfRule type="expression" priority="608" dxfId="101">
      <formula>OR($G$166="",$G$166="нет")</formula>
    </cfRule>
  </conditionalFormatting>
  <conditionalFormatting sqref="E171">
    <cfRule type="expression" priority="607" dxfId="101">
      <formula>OR($G$169="",$G$169="нет")</formula>
    </cfRule>
  </conditionalFormatting>
  <conditionalFormatting sqref="E172:E173">
    <cfRule type="expression" priority="606" dxfId="101">
      <formula>$G$169=""</formula>
    </cfRule>
  </conditionalFormatting>
  <conditionalFormatting sqref="E174:E175">
    <cfRule type="expression" priority="605" dxfId="101">
      <formula>OR($G$173="",$G$173="нет")</formula>
    </cfRule>
  </conditionalFormatting>
  <conditionalFormatting sqref="E176">
    <cfRule type="expression" priority="604" dxfId="101">
      <formula>OR($G$173="",$G$173="да")</formula>
    </cfRule>
  </conditionalFormatting>
  <conditionalFormatting sqref="E177">
    <cfRule type="expression" priority="603" dxfId="101">
      <formula>$G$173=""</formula>
    </cfRule>
  </conditionalFormatting>
  <conditionalFormatting sqref="E178">
    <cfRule type="expression" priority="602" dxfId="101">
      <formula>$G$177=""</formula>
    </cfRule>
  </conditionalFormatting>
  <conditionalFormatting sqref="E178:E181">
    <cfRule type="expression" priority="601" dxfId="101">
      <formula>$G$177="нет"</formula>
    </cfRule>
  </conditionalFormatting>
  <conditionalFormatting sqref="E179:E181">
    <cfRule type="expression" priority="597" dxfId="101">
      <formula>$G$178=""</formula>
    </cfRule>
    <cfRule type="expression" priority="600" dxfId="101">
      <formula>$G$177=""</formula>
    </cfRule>
  </conditionalFormatting>
  <conditionalFormatting sqref="E179:E180">
    <cfRule type="expression" priority="599" dxfId="101">
      <formula>$G$178="нет"</formula>
    </cfRule>
  </conditionalFormatting>
  <conditionalFormatting sqref="E181">
    <cfRule type="expression" priority="598" dxfId="101">
      <formula>$G$178="да"</formula>
    </cfRule>
  </conditionalFormatting>
  <conditionalFormatting sqref="E186:E187">
    <cfRule type="expression" priority="596" dxfId="101">
      <formula>$G$182=""</formula>
    </cfRule>
  </conditionalFormatting>
  <conditionalFormatting sqref="E186">
    <cfRule type="expression" priority="594" dxfId="101">
      <formula>$G$182="нет"</formula>
    </cfRule>
    <cfRule type="expression" priority="593" dxfId="101">
      <formula>$G$71="да"</formula>
    </cfRule>
  </conditionalFormatting>
  <conditionalFormatting sqref="E188:E189">
    <cfRule type="expression" priority="592" dxfId="101">
      <formula>$G$182=""</formula>
    </cfRule>
  </conditionalFormatting>
  <conditionalFormatting sqref="E190:E191">
    <cfRule type="expression" priority="591" dxfId="101">
      <formula>OR($G$189="",$G$189="нет")</formula>
    </cfRule>
  </conditionalFormatting>
  <conditionalFormatting sqref="E66:E69">
    <cfRule type="expression" priority="590" dxfId="101">
      <formula>OR($G$17="нет",$G$17="")</formula>
    </cfRule>
  </conditionalFormatting>
  <conditionalFormatting sqref="E18:E20">
    <cfRule type="expression" priority="589" dxfId="101">
      <formula>OR($G$17="",$G$17="да")</formula>
    </cfRule>
  </conditionalFormatting>
  <conditionalFormatting sqref="E182">
    <cfRule type="expression" priority="588" dxfId="101">
      <formula>OR($G$177="",IF($G$177="да",$G$178="",$G$177="да"))</formula>
    </cfRule>
  </conditionalFormatting>
  <conditionalFormatting sqref="E20">
    <cfRule type="expression" priority="587" dxfId="101">
      <formula>OR($G$19="",$G$19="нет")</formula>
    </cfRule>
  </conditionalFormatting>
  <conditionalFormatting sqref="E23">
    <cfRule type="expression" priority="586" dxfId="101">
      <formula>$G$19=""</formula>
    </cfRule>
  </conditionalFormatting>
  <conditionalFormatting sqref="E24">
    <cfRule type="expression" priority="585" dxfId="101">
      <formula>OR($G$23="",$G$23="нет")</formula>
    </cfRule>
  </conditionalFormatting>
  <conditionalFormatting sqref="E29">
    <cfRule type="expression" priority="584" dxfId="101">
      <formula>OR($G$28="",$G$28="нет")</formula>
    </cfRule>
  </conditionalFormatting>
  <conditionalFormatting sqref="E30">
    <cfRule type="expression" priority="583" dxfId="101">
      <formula>OR($G$29="",$G$29="нет")</formula>
    </cfRule>
  </conditionalFormatting>
  <conditionalFormatting sqref="E31:E32">
    <cfRule type="expression" priority="582" dxfId="101">
      <formula>OR($G$29="",$G$29="нет")</formula>
    </cfRule>
  </conditionalFormatting>
  <conditionalFormatting sqref="E33">
    <cfRule type="expression" priority="579" dxfId="101">
      <formula>IF($G$28="да",$G$29="",$G$28="да")</formula>
    </cfRule>
    <cfRule type="expression" priority="581" dxfId="101">
      <formula>$G$28=""</formula>
    </cfRule>
  </conditionalFormatting>
  <conditionalFormatting sqref="E34:E36">
    <cfRule type="expression" priority="578" dxfId="101">
      <formula>OR($G$33="",$G$33="нет")</formula>
    </cfRule>
  </conditionalFormatting>
  <conditionalFormatting sqref="E37">
    <cfRule type="expression" priority="577" dxfId="101">
      <formula>OR($G$33="",IF($G$33="да",$G$34="",$G$33="да"))</formula>
    </cfRule>
  </conditionalFormatting>
  <conditionalFormatting sqref="E38:E49">
    <cfRule type="expression" priority="576" dxfId="101">
      <formula>OR($G$37="",$G$37="нет")</formula>
    </cfRule>
  </conditionalFormatting>
  <conditionalFormatting sqref="E39:E40">
    <cfRule type="expression" priority="575" dxfId="101">
      <formula>OR($G$38="",$G$38="нет")</formula>
    </cfRule>
  </conditionalFormatting>
  <conditionalFormatting sqref="E41">
    <cfRule type="expression" priority="574" dxfId="101">
      <formula>$G$38=""</formula>
    </cfRule>
  </conditionalFormatting>
  <conditionalFormatting sqref="E42:E43">
    <cfRule type="expression" priority="573" dxfId="101">
      <formula>OR($G$41="",$G$41="нет")</formula>
    </cfRule>
  </conditionalFormatting>
  <conditionalFormatting sqref="E44">
    <cfRule type="expression" priority="572" dxfId="101">
      <formula>$G$41=""</formula>
    </cfRule>
  </conditionalFormatting>
  <conditionalFormatting sqref="E45:E46">
    <cfRule type="expression" priority="571" dxfId="101">
      <formula>OR($G$44="",$G$44="нет")</formula>
    </cfRule>
  </conditionalFormatting>
  <conditionalFormatting sqref="E47">
    <cfRule type="expression" priority="570" dxfId="101">
      <formula>$G$44=""</formula>
    </cfRule>
  </conditionalFormatting>
  <conditionalFormatting sqref="E48:E49">
    <cfRule type="expression" priority="569" dxfId="101">
      <formula>OR($G$47="",$G$47="нет")</formula>
    </cfRule>
  </conditionalFormatting>
  <conditionalFormatting sqref="E50:E53">
    <cfRule type="expression" priority="568" dxfId="101">
      <formula>OR($G$23="",$G$23="да")</formula>
    </cfRule>
  </conditionalFormatting>
  <conditionalFormatting sqref="E52:E53">
    <cfRule type="expression" priority="567" dxfId="101">
      <formula>OR($G$51="",$G$51="нет")</formula>
    </cfRule>
  </conditionalFormatting>
  <conditionalFormatting sqref="E58">
    <cfRule type="expression" priority="563" dxfId="101">
      <formula>IF($G$51="да",$G$52="",$G$51="да")</formula>
    </cfRule>
    <cfRule type="expression" priority="566" dxfId="101">
      <formula>$G$51=""</formula>
    </cfRule>
  </conditionalFormatting>
  <conditionalFormatting sqref="E53">
    <cfRule type="expression" priority="565" dxfId="101">
      <formula>OR($G$52="",$G$52="нет")</formula>
    </cfRule>
  </conditionalFormatting>
  <conditionalFormatting sqref="E59:E61">
    <cfRule type="expression" priority="562" dxfId="101">
      <formula>OR($G$58="",$G$58="нет")</formula>
    </cfRule>
  </conditionalFormatting>
  <conditionalFormatting sqref="E61">
    <cfRule type="expression" priority="561" dxfId="101">
      <formula>OR($G$60="",$G$60="нет")</formula>
    </cfRule>
  </conditionalFormatting>
  <conditionalFormatting sqref="E62">
    <cfRule type="expression" priority="560" dxfId="101">
      <formula>OR($G$58="",IF($G$58="да",$G$60="",$G$58="да"))</formula>
    </cfRule>
  </conditionalFormatting>
  <conditionalFormatting sqref="E63:E65">
    <cfRule type="expression" priority="559" dxfId="101">
      <formula>OR($G$62="",$G$62="нет")</formula>
    </cfRule>
  </conditionalFormatting>
  <conditionalFormatting sqref="E65">
    <cfRule type="expression" priority="558" dxfId="101">
      <formula>OR($G$64="",$G$64="нет")</formula>
    </cfRule>
  </conditionalFormatting>
  <conditionalFormatting sqref="E68:E69">
    <cfRule type="expression" priority="557" dxfId="101">
      <formula>OR($G$67="",$G$67="нет")</formula>
    </cfRule>
  </conditionalFormatting>
  <conditionalFormatting sqref="E116:E121">
    <cfRule type="expression" priority="555" dxfId="101">
      <formula>OR($G$67="",$G$67="да")</formula>
    </cfRule>
  </conditionalFormatting>
  <conditionalFormatting sqref="E71:E72">
    <cfRule type="expression" priority="552" dxfId="101">
      <formula>OR($G$69="",AND($G$69="нет",$G$70="нет"),AND($G$69="нет",$G$70=""))</formula>
    </cfRule>
  </conditionalFormatting>
  <conditionalFormatting sqref="E111:E115">
    <cfRule type="expression" priority="550" dxfId="101">
      <formula>OR($G$71="",$G$71="да")</formula>
    </cfRule>
  </conditionalFormatting>
  <conditionalFormatting sqref="E78:E80">
    <cfRule type="expression" priority="548" dxfId="101">
      <formula>$G$76=""</formula>
    </cfRule>
    <cfRule type="expression" priority="547" dxfId="101">
      <formula>$G$76="нет"</formula>
    </cfRule>
  </conditionalFormatting>
  <conditionalFormatting sqref="E90:E92">
    <cfRule type="expression" priority="546" dxfId="101">
      <formula>OR($G$89="",$G$89="нет")</formula>
    </cfRule>
  </conditionalFormatting>
  <conditionalFormatting sqref="E93">
    <cfRule type="expression" priority="545" dxfId="101">
      <formula>OR($G$89="",AND($G$89="да",$G$90=""))</formula>
    </cfRule>
  </conditionalFormatting>
  <conditionalFormatting sqref="E94:E105">
    <cfRule type="expression" priority="544" dxfId="101">
      <formula>OR($G$93="",$G$93="нет")</formula>
    </cfRule>
  </conditionalFormatting>
  <conditionalFormatting sqref="E106">
    <cfRule type="expression" priority="543" dxfId="101">
      <formula>OR($G$93="",AND($G$93="да",$G$103=""))</formula>
    </cfRule>
  </conditionalFormatting>
  <conditionalFormatting sqref="E95:E96">
    <cfRule type="expression" priority="542" dxfId="101">
      <formula>OR($G$94="",$G$94="нет")</formula>
    </cfRule>
  </conditionalFormatting>
  <conditionalFormatting sqref="E97">
    <cfRule type="expression" priority="541" dxfId="101">
      <formula>$G$94=""</formula>
    </cfRule>
  </conditionalFormatting>
  <conditionalFormatting sqref="E98:E99">
    <cfRule type="expression" priority="540" dxfId="101">
      <formula>OR($G$97="",$G$97="нет")</formula>
    </cfRule>
  </conditionalFormatting>
  <conditionalFormatting sqref="E100">
    <cfRule type="expression" priority="539" dxfId="101">
      <formula>$G$97=""</formula>
    </cfRule>
  </conditionalFormatting>
  <conditionalFormatting sqref="E101:E102">
    <cfRule type="expression" priority="538" dxfId="101">
      <formula>OR($G$100="",$G$100="нет")</formula>
    </cfRule>
  </conditionalFormatting>
  <conditionalFormatting sqref="E103">
    <cfRule type="expression" priority="537" dxfId="101">
      <formula>$G$100=""</formula>
    </cfRule>
  </conditionalFormatting>
  <conditionalFormatting sqref="E104:E105">
    <cfRule type="expression" priority="536" dxfId="101">
      <formula>OR($G$103="",$G$103="нет")</formula>
    </cfRule>
  </conditionalFormatting>
  <conditionalFormatting sqref="E107:E110">
    <cfRule type="expression" priority="535" dxfId="101">
      <formula>OR($G$106="",$G$106="нет")</formula>
    </cfRule>
  </conditionalFormatting>
  <conditionalFormatting sqref="E108:E110">
    <cfRule type="expression" priority="534" dxfId="101">
      <formula>OR($G$107="",$G$107="нет")</formula>
    </cfRule>
  </conditionalFormatting>
  <conditionalFormatting sqref="E72">
    <cfRule type="expression" priority="533" dxfId="101">
      <formula>OR($G$71="",$G$71="да")</formula>
    </cfRule>
  </conditionalFormatting>
  <conditionalFormatting sqref="E111:E112">
    <cfRule type="expression" priority="530" dxfId="101">
      <formula>AND($G$107="да",$G$108="")</formula>
    </cfRule>
    <cfRule type="expression" priority="531" dxfId="101">
      <formula>AND($G$106="да",$G$107="")</formula>
    </cfRule>
    <cfRule type="expression" priority="532" dxfId="101">
      <formula>$G$106=""</formula>
    </cfRule>
  </conditionalFormatting>
  <conditionalFormatting sqref="E113:E115">
    <cfRule type="expression" priority="529" dxfId="101">
      <formula>OR($G$112="",$G$112="нет")</formula>
    </cfRule>
  </conditionalFormatting>
  <conditionalFormatting sqref="E144">
    <cfRule type="expression" priority="491" dxfId="101">
      <formula>$G$17=""</formula>
    </cfRule>
    <cfRule type="expression" priority="492" dxfId="101">
      <formula>AND($G$17="нет",$G$23="")</formula>
    </cfRule>
    <cfRule type="expression" priority="493" dxfId="101">
      <formula>AND($G$62="да",$G$64="")</formula>
    </cfRule>
    <cfRule type="expression" priority="494" dxfId="101">
      <formula>AND($G$23="нет",$G$62="")</formula>
    </cfRule>
    <cfRule type="expression" priority="495" dxfId="101">
      <formula>AND($G$23="да",$G$37="")</formula>
    </cfRule>
    <cfRule type="expression" priority="496" dxfId="101">
      <formula>AND($G$37="да",$G$47="")</formula>
    </cfRule>
    <cfRule type="expression" priority="498" dxfId="101">
      <formula>AND($G$17="да",$G$67="")</formula>
    </cfRule>
    <cfRule type="expression" priority="511" dxfId="101">
      <formula>AND($G$129="да",$G$140="")</formula>
    </cfRule>
    <cfRule type="expression" priority="512" dxfId="101">
      <formula>AND($G$129="да",$G$140="да",$G$142="")</formula>
    </cfRule>
    <cfRule type="expression" priority="513" dxfId="101">
      <formula>AND($G$67="нет",$G$129="")</formula>
    </cfRule>
    <cfRule type="expression" priority="523" dxfId="101">
      <formula>AND($G$107="да",$G$108="")</formula>
    </cfRule>
    <cfRule type="expression" priority="526" dxfId="101">
      <formula>AND($G$106="да",$G$107="")</formula>
    </cfRule>
    <cfRule type="expression" priority="527" dxfId="101">
      <formula>AND($G$71="да",$G$106="")</formula>
    </cfRule>
    <cfRule type="expression" priority="528" dxfId="101">
      <formula>AND($G$71="нет",$G$112="")</formula>
    </cfRule>
  </conditionalFormatting>
  <conditionalFormatting sqref="E118:E121">
    <cfRule type="expression" priority="522" dxfId="101">
      <formula>$G$117=""</formula>
    </cfRule>
  </conditionalFormatting>
  <conditionalFormatting sqref="E119:E121">
    <cfRule type="expression" priority="521" dxfId="101">
      <formula>OR(AND($G$117="нет",$G$118=""),AND($G$117="нет",$G$118="нет"))</formula>
    </cfRule>
  </conditionalFormatting>
  <conditionalFormatting sqref="E128:E129">
    <cfRule type="expression" priority="497" dxfId="101">
      <formula>$G$117=""</formula>
    </cfRule>
    <cfRule type="expression" priority="520" dxfId="101">
      <formula>AND($G$117="нет",$G$118="")</formula>
    </cfRule>
  </conditionalFormatting>
  <conditionalFormatting sqref="E118">
    <cfRule type="expression" priority="516" dxfId="101">
      <formula>$G$117="да"</formula>
    </cfRule>
  </conditionalFormatting>
  <conditionalFormatting sqref="E123:E125">
    <cfRule type="expression" priority="515" dxfId="101">
      <formula>OR($G$121="",$G$121="нет")</formula>
    </cfRule>
  </conditionalFormatting>
  <conditionalFormatting sqref="E130:E143">
    <cfRule type="expression" priority="514" dxfId="101">
      <formula>OR($G$129="",$G$129="нет")</formula>
    </cfRule>
  </conditionalFormatting>
  <conditionalFormatting sqref="E131:E135">
    <cfRule type="expression" priority="510" dxfId="101">
      <formula>OR($G$130="",$G$130="нет")</formula>
    </cfRule>
  </conditionalFormatting>
  <conditionalFormatting sqref="E132:E135">
    <cfRule type="expression" priority="509" dxfId="101">
      <formula>OR($G$131="",$G$131="нет")</formula>
    </cfRule>
  </conditionalFormatting>
  <conditionalFormatting sqref="E136">
    <cfRule type="expression" priority="506" dxfId="101">
      <formula>AND($G$130="да",$G$131="")</formula>
    </cfRule>
    <cfRule type="expression" priority="508" dxfId="101">
      <formula>$G$130=""</formula>
    </cfRule>
  </conditionalFormatting>
  <conditionalFormatting sqref="E137:E139">
    <cfRule type="expression" priority="505" dxfId="101">
      <formula>OR($G$136="",$G$136="нет")</formula>
    </cfRule>
  </conditionalFormatting>
  <conditionalFormatting sqref="E139">
    <cfRule type="expression" priority="504" dxfId="101">
      <formula>OR($G$138="",$G$138="нет")</formula>
    </cfRule>
  </conditionalFormatting>
  <conditionalFormatting sqref="E140">
    <cfRule type="expression" priority="499" dxfId="101">
      <formula>$G$136=""</formula>
    </cfRule>
    <cfRule type="expression" priority="500" dxfId="101">
      <formula>$G$130=""</formula>
    </cfRule>
    <cfRule type="expression" priority="503" dxfId="101">
      <formula>AND($G$136="да",$G$138="")</formula>
    </cfRule>
  </conditionalFormatting>
  <conditionalFormatting sqref="E141:E143">
    <cfRule type="expression" priority="502" dxfId="101">
      <formula>OR($G$140="",$G$140="нет")</formula>
    </cfRule>
  </conditionalFormatting>
  <conditionalFormatting sqref="E143">
    <cfRule type="expression" priority="501" dxfId="101">
      <formula>OR($G$142="",$G$142="нет")</formula>
    </cfRule>
  </conditionalFormatting>
  <conditionalFormatting sqref="K146:K147">
    <cfRule type="expression" priority="490" dxfId="101">
      <formula>OR($G$145="",$G$145="нет")</formula>
    </cfRule>
  </conditionalFormatting>
  <conditionalFormatting sqref="K148">
    <cfRule type="expression" priority="489" dxfId="101">
      <formula>$G$145=""</formula>
    </cfRule>
  </conditionalFormatting>
  <conditionalFormatting sqref="K149:K160">
    <cfRule type="expression" priority="488" dxfId="101">
      <formula>$G$148="нет"</formula>
    </cfRule>
  </conditionalFormatting>
  <conditionalFormatting sqref="K161">
    <cfRule type="expression" priority="487" dxfId="101">
      <formula>IF($G$148="да",$G$158="",$G$148="")</formula>
    </cfRule>
  </conditionalFormatting>
  <conditionalFormatting sqref="K149">
    <cfRule type="expression" priority="486" dxfId="101">
      <formula>OR($G$148="",$G$148="нет")</formula>
    </cfRule>
  </conditionalFormatting>
  <conditionalFormatting sqref="K150:K151">
    <cfRule type="expression" priority="485" dxfId="101">
      <formula>OR($G$149="нет",$G$149="")</formula>
    </cfRule>
  </conditionalFormatting>
  <conditionalFormatting sqref="K152">
    <cfRule type="expression" priority="484" dxfId="101">
      <formula>$G$149=""</formula>
    </cfRule>
  </conditionalFormatting>
  <conditionalFormatting sqref="K153:K154">
    <cfRule type="expression" priority="483" dxfId="101">
      <formula>OR($G$152="",$G$152="нет")</formula>
    </cfRule>
  </conditionalFormatting>
  <conditionalFormatting sqref="K155">
    <cfRule type="expression" priority="482" dxfId="101">
      <formula>$G$152=""</formula>
    </cfRule>
  </conditionalFormatting>
  <conditionalFormatting sqref="K156:K157">
    <cfRule type="expression" priority="481" dxfId="101">
      <formula>OR($G$155="",$G$155="нет")</formula>
    </cfRule>
  </conditionalFormatting>
  <conditionalFormatting sqref="K158">
    <cfRule type="expression" priority="480" dxfId="101">
      <formula>$G$155=""</formula>
    </cfRule>
  </conditionalFormatting>
  <conditionalFormatting sqref="K159:K160">
    <cfRule type="expression" priority="479" dxfId="101">
      <formula>OR($G$158="нет",$G$158="")</formula>
    </cfRule>
  </conditionalFormatting>
  <conditionalFormatting sqref="K162">
    <cfRule type="expression" priority="478" dxfId="101">
      <formula>OR($G$161="",$G$161="нет")</formula>
    </cfRule>
  </conditionalFormatting>
  <conditionalFormatting sqref="K163:K164">
    <cfRule type="expression" priority="477" dxfId="101">
      <formula>$G$161=""</formula>
    </cfRule>
  </conditionalFormatting>
  <conditionalFormatting sqref="K165:K168">
    <cfRule type="expression" priority="476" dxfId="101">
      <formula>OR($G$164="",$G$164="нет")</formula>
    </cfRule>
  </conditionalFormatting>
  <conditionalFormatting sqref="K169">
    <cfRule type="expression" priority="475" dxfId="101">
      <formula>OR($G$164="",IF($G$164="да",$G$166="",$G$164))</formula>
    </cfRule>
  </conditionalFormatting>
  <conditionalFormatting sqref="K167">
    <cfRule type="expression" priority="474" dxfId="101">
      <formula>OR($G$166="",$G$166="да")</formula>
    </cfRule>
  </conditionalFormatting>
  <conditionalFormatting sqref="K168">
    <cfRule type="expression" priority="473" dxfId="101">
      <formula>OR($G$166="",$G$166="нет")</formula>
    </cfRule>
  </conditionalFormatting>
  <conditionalFormatting sqref="K171">
    <cfRule type="expression" priority="472" dxfId="101">
      <formula>OR($G$169="",$G$169="нет")</formula>
    </cfRule>
  </conditionalFormatting>
  <conditionalFormatting sqref="K172:K173">
    <cfRule type="expression" priority="471" dxfId="101">
      <formula>$G$169=""</formula>
    </cfRule>
  </conditionalFormatting>
  <conditionalFormatting sqref="K174:K175">
    <cfRule type="expression" priority="470" dxfId="101">
      <formula>OR($G$173="",$G$173="нет")</formula>
    </cfRule>
  </conditionalFormatting>
  <conditionalFormatting sqref="K176">
    <cfRule type="expression" priority="469" dxfId="101">
      <formula>OR($G$173="",$G$173="да")</formula>
    </cfRule>
  </conditionalFormatting>
  <conditionalFormatting sqref="K177">
    <cfRule type="expression" priority="468" dxfId="101">
      <formula>$G$173=""</formula>
    </cfRule>
  </conditionalFormatting>
  <conditionalFormatting sqref="K178">
    <cfRule type="expression" priority="467" dxfId="101">
      <formula>$G$177=""</formula>
    </cfRule>
  </conditionalFormatting>
  <conditionalFormatting sqref="K178:K181">
    <cfRule type="expression" priority="466" dxfId="101">
      <formula>$G$177="нет"</formula>
    </cfRule>
  </conditionalFormatting>
  <conditionalFormatting sqref="K179:K181">
    <cfRule type="expression" priority="462" dxfId="101">
      <formula>$G$178=""</formula>
    </cfRule>
    <cfRule type="expression" priority="465" dxfId="101">
      <formula>$G$177=""</formula>
    </cfRule>
  </conditionalFormatting>
  <conditionalFormatting sqref="K179:K180">
    <cfRule type="expression" priority="464" dxfId="101">
      <formula>$G$178="нет"</formula>
    </cfRule>
  </conditionalFormatting>
  <conditionalFormatting sqref="K181">
    <cfRule type="expression" priority="463" dxfId="101">
      <formula>$G$178="да"</formula>
    </cfRule>
  </conditionalFormatting>
  <conditionalFormatting sqref="K186:K187">
    <cfRule type="expression" priority="461" dxfId="101">
      <formula>$G$182=""</formula>
    </cfRule>
  </conditionalFormatting>
  <conditionalFormatting sqref="K186">
    <cfRule type="expression" priority="459" dxfId="101">
      <formula>$G$182="нет"</formula>
    </cfRule>
    <cfRule type="expression" priority="458" dxfId="101">
      <formula>$G$71="да"</formula>
    </cfRule>
  </conditionalFormatting>
  <conditionalFormatting sqref="K188:K189">
    <cfRule type="expression" priority="457" dxfId="101">
      <formula>$G$182=""</formula>
    </cfRule>
  </conditionalFormatting>
  <conditionalFormatting sqref="K190:K191">
    <cfRule type="expression" priority="456" dxfId="101">
      <formula>OR($G$189="",$G$189="нет")</formula>
    </cfRule>
  </conditionalFormatting>
  <conditionalFormatting sqref="K66:K69">
    <cfRule type="expression" priority="455" dxfId="101">
      <formula>OR($G$17="нет",$G$17="")</formula>
    </cfRule>
  </conditionalFormatting>
  <conditionalFormatting sqref="K18:K20">
    <cfRule type="expression" priority="454" dxfId="101">
      <formula>OR($G$17="",$G$17="да")</formula>
    </cfRule>
  </conditionalFormatting>
  <conditionalFormatting sqref="K182">
    <cfRule type="expression" priority="453" dxfId="101">
      <formula>OR($G$177="",IF($G$177="да",$G$178="",$G$177="да"))</formula>
    </cfRule>
  </conditionalFormatting>
  <conditionalFormatting sqref="K20">
    <cfRule type="expression" priority="452" dxfId="101">
      <formula>OR($G$19="",$G$19="нет")</formula>
    </cfRule>
  </conditionalFormatting>
  <conditionalFormatting sqref="K23">
    <cfRule type="expression" priority="451" dxfId="101">
      <formula>$G$19=""</formula>
    </cfRule>
  </conditionalFormatting>
  <conditionalFormatting sqref="K24:K28">
    <cfRule type="expression" priority="450" dxfId="101">
      <formula>OR($G$23="",$G$23="нет")</formula>
    </cfRule>
  </conditionalFormatting>
  <conditionalFormatting sqref="K29">
    <cfRule type="expression" priority="449" dxfId="101">
      <formula>OR($G$28="",$G$28="нет")</formula>
    </cfRule>
  </conditionalFormatting>
  <conditionalFormatting sqref="K30">
    <cfRule type="expression" priority="448" dxfId="101">
      <formula>OR($G$29="",$G$29="нет")</formula>
    </cfRule>
  </conditionalFormatting>
  <conditionalFormatting sqref="K31:K32">
    <cfRule type="expression" priority="447" dxfId="101">
      <formula>OR($G$29="",$G$29="нет")</formula>
    </cfRule>
  </conditionalFormatting>
  <conditionalFormatting sqref="K33">
    <cfRule type="expression" priority="444" dxfId="101">
      <formula>IF($G$28="да",$G$29="",$G$28="да")</formula>
    </cfRule>
    <cfRule type="expression" priority="446" dxfId="101">
      <formula>$G$28=""</formula>
    </cfRule>
  </conditionalFormatting>
  <conditionalFormatting sqref="K34:K36">
    <cfRule type="expression" priority="443" dxfId="101">
      <formula>OR($G$33="",$G$33="нет")</formula>
    </cfRule>
  </conditionalFormatting>
  <conditionalFormatting sqref="K37">
    <cfRule type="expression" priority="442" dxfId="101">
      <formula>OR($G$33="",IF($G$33="да",$G$34="",$G$33="да"))</formula>
    </cfRule>
  </conditionalFormatting>
  <conditionalFormatting sqref="K38:K49">
    <cfRule type="expression" priority="441" dxfId="101">
      <formula>OR($G$37="",$G$37="нет")</formula>
    </cfRule>
  </conditionalFormatting>
  <conditionalFormatting sqref="K39:K40">
    <cfRule type="expression" priority="440" dxfId="101">
      <formula>OR($G$38="",$G$38="нет")</formula>
    </cfRule>
  </conditionalFormatting>
  <conditionalFormatting sqref="K41">
    <cfRule type="expression" priority="439" dxfId="101">
      <formula>$G$38=""</formula>
    </cfRule>
  </conditionalFormatting>
  <conditionalFormatting sqref="K42:K43">
    <cfRule type="expression" priority="438" dxfId="101">
      <formula>OR($G$41="",$G$41="нет")</formula>
    </cfRule>
  </conditionalFormatting>
  <conditionalFormatting sqref="K44">
    <cfRule type="expression" priority="437" dxfId="101">
      <formula>$G$41=""</formula>
    </cfRule>
  </conditionalFormatting>
  <conditionalFormatting sqref="K45:K46">
    <cfRule type="expression" priority="436" dxfId="101">
      <formula>OR($G$44="",$G$44="нет")</formula>
    </cfRule>
  </conditionalFormatting>
  <conditionalFormatting sqref="K47">
    <cfRule type="expression" priority="435" dxfId="101">
      <formula>$G$44=""</formula>
    </cfRule>
  </conditionalFormatting>
  <conditionalFormatting sqref="K48:K49">
    <cfRule type="expression" priority="434" dxfId="101">
      <formula>OR($G$47="",$G$47="нет")</formula>
    </cfRule>
  </conditionalFormatting>
  <conditionalFormatting sqref="K50:K53">
    <cfRule type="expression" priority="433" dxfId="101">
      <formula>OR($G$23="",$G$23="да")</formula>
    </cfRule>
  </conditionalFormatting>
  <conditionalFormatting sqref="K52:K53">
    <cfRule type="expression" priority="432" dxfId="101">
      <formula>OR($G$51="",$G$51="нет")</formula>
    </cfRule>
  </conditionalFormatting>
  <conditionalFormatting sqref="K58">
    <cfRule type="expression" priority="428" dxfId="101">
      <formula>IF($G$51="да",$G$52="",$G$51="да")</formula>
    </cfRule>
    <cfRule type="expression" priority="431" dxfId="101">
      <formula>$G$51=""</formula>
    </cfRule>
  </conditionalFormatting>
  <conditionalFormatting sqref="K53">
    <cfRule type="expression" priority="430" dxfId="101">
      <formula>OR($G$52="",$G$52="нет")</formula>
    </cfRule>
  </conditionalFormatting>
  <conditionalFormatting sqref="K59:K61">
    <cfRule type="expression" priority="427" dxfId="101">
      <formula>OR($G$58="",$G$58="нет")</formula>
    </cfRule>
  </conditionalFormatting>
  <conditionalFormatting sqref="K61">
    <cfRule type="expression" priority="426" dxfId="101">
      <formula>OR($G$60="",$G$60="нет")</formula>
    </cfRule>
  </conditionalFormatting>
  <conditionalFormatting sqref="K62">
    <cfRule type="expression" priority="425" dxfId="101">
      <formula>OR($G$58="",IF($G$58="да",$G$60="",$G$58="да"))</formula>
    </cfRule>
  </conditionalFormatting>
  <conditionalFormatting sqref="K63:K65">
    <cfRule type="expression" priority="424" dxfId="101">
      <formula>OR($G$62="",$G$62="нет")</formula>
    </cfRule>
  </conditionalFormatting>
  <conditionalFormatting sqref="K65">
    <cfRule type="expression" priority="423" dxfId="101">
      <formula>OR($G$64="",$G$64="нет")</formula>
    </cfRule>
  </conditionalFormatting>
  <conditionalFormatting sqref="K68:K69">
    <cfRule type="expression" priority="422" dxfId="101">
      <formula>OR($G$67="",$G$67="нет")</formula>
    </cfRule>
  </conditionalFormatting>
  <conditionalFormatting sqref="K116:K121">
    <cfRule type="expression" priority="420" dxfId="101">
      <formula>OR($G$67="",$G$67="да")</formula>
    </cfRule>
  </conditionalFormatting>
  <conditionalFormatting sqref="K71:K72">
    <cfRule type="expression" priority="417" dxfId="101">
      <formula>OR($G$69="",AND($G$69="нет",$G$70="нет"),AND($G$69="нет",$G$70=""))</formula>
    </cfRule>
  </conditionalFormatting>
  <conditionalFormatting sqref="K111:K115">
    <cfRule type="expression" priority="415" dxfId="101">
      <formula>OR($G$71="",$G$71="да")</formula>
    </cfRule>
  </conditionalFormatting>
  <conditionalFormatting sqref="K78:K80">
    <cfRule type="expression" priority="413" dxfId="101">
      <formula>$G$76=""</formula>
    </cfRule>
    <cfRule type="expression" priority="412" dxfId="101">
      <formula>$G$76="нет"</formula>
    </cfRule>
  </conditionalFormatting>
  <conditionalFormatting sqref="K90:K92">
    <cfRule type="expression" priority="411" dxfId="101">
      <formula>OR($G$89="",$G$89="нет")</formula>
    </cfRule>
  </conditionalFormatting>
  <conditionalFormatting sqref="K93">
    <cfRule type="expression" priority="410" dxfId="101">
      <formula>OR($G$89="",AND($G$89="да",$G$90=""))</formula>
    </cfRule>
  </conditionalFormatting>
  <conditionalFormatting sqref="K94:K105">
    <cfRule type="expression" priority="409" dxfId="101">
      <formula>OR($G$93="",$G$93="нет")</formula>
    </cfRule>
  </conditionalFormatting>
  <conditionalFormatting sqref="K106">
    <cfRule type="expression" priority="408" dxfId="101">
      <formula>OR($G$93="",AND($G$93="да",$G$103=""))</formula>
    </cfRule>
  </conditionalFormatting>
  <conditionalFormatting sqref="K95:K96">
    <cfRule type="expression" priority="407" dxfId="101">
      <formula>OR($G$94="",$G$94="нет")</formula>
    </cfRule>
  </conditionalFormatting>
  <conditionalFormatting sqref="K97">
    <cfRule type="expression" priority="406" dxfId="101">
      <formula>$G$94=""</formula>
    </cfRule>
  </conditionalFormatting>
  <conditionalFormatting sqref="K98:K99">
    <cfRule type="expression" priority="405" dxfId="101">
      <formula>OR($G$97="",$G$97="нет")</formula>
    </cfRule>
  </conditionalFormatting>
  <conditionalFormatting sqref="K100">
    <cfRule type="expression" priority="404" dxfId="101">
      <formula>$G$97=""</formula>
    </cfRule>
  </conditionalFormatting>
  <conditionalFormatting sqref="K101:K102">
    <cfRule type="expression" priority="403" dxfId="101">
      <formula>OR($G$100="",$G$100="нет")</formula>
    </cfRule>
  </conditionalFormatting>
  <conditionalFormatting sqref="K103">
    <cfRule type="expression" priority="402" dxfId="101">
      <formula>$G$100=""</formula>
    </cfRule>
  </conditionalFormatting>
  <conditionalFormatting sqref="K104:K105">
    <cfRule type="expression" priority="401" dxfId="101">
      <formula>OR($G$103="",$G$103="нет")</formula>
    </cfRule>
  </conditionalFormatting>
  <conditionalFormatting sqref="K107:K110">
    <cfRule type="expression" priority="400" dxfId="101">
      <formula>OR($G$106="",$G$106="нет")</formula>
    </cfRule>
  </conditionalFormatting>
  <conditionalFormatting sqref="K108:K110">
    <cfRule type="expression" priority="399" dxfId="101">
      <formula>OR($G$107="",$G$107="нет")</formula>
    </cfRule>
  </conditionalFormatting>
  <conditionalFormatting sqref="K72">
    <cfRule type="expression" priority="398" dxfId="101">
      <formula>OR($G$71="",$G$71="да")</formula>
    </cfRule>
  </conditionalFormatting>
  <conditionalFormatting sqref="K111:K112">
    <cfRule type="expression" priority="395" dxfId="101">
      <formula>AND($G$107="да",$G$108="")</formula>
    </cfRule>
    <cfRule type="expression" priority="396" dxfId="101">
      <formula>AND($G$106="да",$G$107="")</formula>
    </cfRule>
    <cfRule type="expression" priority="397" dxfId="101">
      <formula>$G$106=""</formula>
    </cfRule>
  </conditionalFormatting>
  <conditionalFormatting sqref="K113:K115">
    <cfRule type="expression" priority="394" dxfId="101">
      <formula>OR($G$112="",$G$112="нет")</formula>
    </cfRule>
  </conditionalFormatting>
  <conditionalFormatting sqref="K144">
    <cfRule type="expression" priority="356" dxfId="101">
      <formula>$G$17=""</formula>
    </cfRule>
    <cfRule type="expression" priority="357" dxfId="101">
      <formula>AND($G$17="нет",$G$23="")</formula>
    </cfRule>
    <cfRule type="expression" priority="358" dxfId="101">
      <formula>AND($G$62="да",$G$64="")</formula>
    </cfRule>
    <cfRule type="expression" priority="359" dxfId="101">
      <formula>AND($G$23="нет",$G$62="")</formula>
    </cfRule>
    <cfRule type="expression" priority="360" dxfId="101">
      <formula>AND($G$23="да",$G$37="")</formula>
    </cfRule>
    <cfRule type="expression" priority="361" dxfId="101">
      <formula>AND($G$37="да",$G$47="")</formula>
    </cfRule>
    <cfRule type="expression" priority="363" dxfId="101">
      <formula>AND($G$17="да",$G$67="")</formula>
    </cfRule>
    <cfRule type="expression" priority="376" dxfId="101">
      <formula>AND($G$129="да",$G$140="")</formula>
    </cfRule>
    <cfRule type="expression" priority="377" dxfId="101">
      <formula>AND($G$129="да",$G$140="да",$G$142="")</formula>
    </cfRule>
    <cfRule type="expression" priority="378" dxfId="101">
      <formula>AND($G$67="нет",$G$129="")</formula>
    </cfRule>
    <cfRule type="expression" priority="388" dxfId="101">
      <formula>AND($G$107="да",$G$108="")</formula>
    </cfRule>
    <cfRule type="expression" priority="391" dxfId="101">
      <formula>AND($G$106="да",$G$107="")</formula>
    </cfRule>
    <cfRule type="expression" priority="392" dxfId="101">
      <formula>AND($G$71="да",$G$106="")</formula>
    </cfRule>
    <cfRule type="expression" priority="393" dxfId="101">
      <formula>AND($G$71="нет",$G$112="")</formula>
    </cfRule>
  </conditionalFormatting>
  <conditionalFormatting sqref="K118:K121">
    <cfRule type="expression" priority="387" dxfId="101">
      <formula>$G$117=""</formula>
    </cfRule>
  </conditionalFormatting>
  <conditionalFormatting sqref="K119:K121">
    <cfRule type="expression" priority="386" dxfId="101">
      <formula>OR(AND($G$117="нет",$G$118=""),AND($G$117="нет",$G$118="нет"))</formula>
    </cfRule>
  </conditionalFormatting>
  <conditionalFormatting sqref="K128:K129">
    <cfRule type="expression" priority="362" dxfId="101">
      <formula>$G$117=""</formula>
    </cfRule>
    <cfRule type="expression" priority="385" dxfId="101">
      <formula>AND($G$117="нет",$G$118="")</formula>
    </cfRule>
  </conditionalFormatting>
  <conditionalFormatting sqref="K118">
    <cfRule type="expression" priority="381" dxfId="101">
      <formula>$G$117="да"</formula>
    </cfRule>
  </conditionalFormatting>
  <conditionalFormatting sqref="K123:K125">
    <cfRule type="expression" priority="380" dxfId="101">
      <formula>OR($G$121="",$G$121="нет")</formula>
    </cfRule>
  </conditionalFormatting>
  <conditionalFormatting sqref="K130:K143">
    <cfRule type="expression" priority="379" dxfId="101">
      <formula>OR($G$129="",$G$129="нет")</formula>
    </cfRule>
  </conditionalFormatting>
  <conditionalFormatting sqref="K131:K135">
    <cfRule type="expression" priority="375" dxfId="101">
      <formula>OR($G$130="",$G$130="нет")</formula>
    </cfRule>
  </conditionalFormatting>
  <conditionalFormatting sqref="K132:K135">
    <cfRule type="expression" priority="374" dxfId="101">
      <formula>OR($G$131="",$G$131="нет")</formula>
    </cfRule>
  </conditionalFormatting>
  <conditionalFormatting sqref="K136">
    <cfRule type="expression" priority="371" dxfId="101">
      <formula>AND($G$130="да",$G$131="")</formula>
    </cfRule>
    <cfRule type="expression" priority="373" dxfId="101">
      <formula>$G$130=""</formula>
    </cfRule>
  </conditionalFormatting>
  <conditionalFormatting sqref="K137:K139">
    <cfRule type="expression" priority="370" dxfId="101">
      <formula>OR($G$136="",$G$136="нет")</formula>
    </cfRule>
  </conditionalFormatting>
  <conditionalFormatting sqref="K139">
    <cfRule type="expression" priority="369" dxfId="101">
      <formula>OR($G$138="",$G$138="нет")</formula>
    </cfRule>
  </conditionalFormatting>
  <conditionalFormatting sqref="K140">
    <cfRule type="expression" priority="364" dxfId="101">
      <formula>$G$136=""</formula>
    </cfRule>
    <cfRule type="expression" priority="365" dxfId="101">
      <formula>$G$130=""</formula>
    </cfRule>
    <cfRule type="expression" priority="368" dxfId="101">
      <formula>AND($G$136="да",$G$138="")</formula>
    </cfRule>
  </conditionalFormatting>
  <conditionalFormatting sqref="K141:K143">
    <cfRule type="expression" priority="367" dxfId="101">
      <formula>OR($G$140="",$G$140="нет")</formula>
    </cfRule>
  </conditionalFormatting>
  <conditionalFormatting sqref="K143">
    <cfRule type="expression" priority="366" dxfId="101">
      <formula>OR($G$142="",$G$142="нет")</formula>
    </cfRule>
  </conditionalFormatting>
  <conditionalFormatting sqref="J146:J147">
    <cfRule type="expression" priority="355" dxfId="101">
      <formula>OR($G$145="",$G$145="нет")</formula>
    </cfRule>
  </conditionalFormatting>
  <conditionalFormatting sqref="I148:J148">
    <cfRule type="expression" priority="354" dxfId="101">
      <formula>$G$145=""</formula>
    </cfRule>
  </conditionalFormatting>
  <conditionalFormatting sqref="J149:J160">
    <cfRule type="expression" priority="353" dxfId="101">
      <formula>$G$148="нет"</formula>
    </cfRule>
  </conditionalFormatting>
  <conditionalFormatting sqref="I161:J161">
    <cfRule type="expression" priority="352" dxfId="101">
      <formula>IF($G$148="да",$G$158="",$G$148="")</formula>
    </cfRule>
  </conditionalFormatting>
  <conditionalFormatting sqref="I149:J149">
    <cfRule type="expression" priority="351" dxfId="101">
      <formula>OR($G$148="",$G$148="нет")</formula>
    </cfRule>
  </conditionalFormatting>
  <conditionalFormatting sqref="J150:J151">
    <cfRule type="expression" priority="350" dxfId="101">
      <formula>OR($G$149="нет",$G$149="")</formula>
    </cfRule>
  </conditionalFormatting>
  <conditionalFormatting sqref="I152:J152">
    <cfRule type="expression" priority="349" dxfId="101">
      <formula>$G$149=""</formula>
    </cfRule>
  </conditionalFormatting>
  <conditionalFormatting sqref="J153:J154">
    <cfRule type="expression" priority="348" dxfId="101">
      <formula>OR($G$152="",$G$152="нет")</formula>
    </cfRule>
  </conditionalFormatting>
  <conditionalFormatting sqref="I155:J155">
    <cfRule type="expression" priority="347" dxfId="101">
      <formula>$G$152=""</formula>
    </cfRule>
  </conditionalFormatting>
  <conditionalFormatting sqref="J156:J157">
    <cfRule type="expression" priority="346" dxfId="101">
      <formula>OR($G$155="",$G$155="нет")</formula>
    </cfRule>
  </conditionalFormatting>
  <conditionalFormatting sqref="I158:J158">
    <cfRule type="expression" priority="345" dxfId="101">
      <formula>$G$155=""</formula>
    </cfRule>
  </conditionalFormatting>
  <conditionalFormatting sqref="J159:J160">
    <cfRule type="expression" priority="344" dxfId="101">
      <formula>OR($G$158="нет",$G$158="")</formula>
    </cfRule>
  </conditionalFormatting>
  <conditionalFormatting sqref="I162:J162">
    <cfRule type="expression" priority="343" dxfId="101">
      <formula>OR($G$161="",$G$161="нет")</formula>
    </cfRule>
  </conditionalFormatting>
  <conditionalFormatting sqref="J163:J164">
    <cfRule type="expression" priority="342" dxfId="101">
      <formula>$G$161=""</formula>
    </cfRule>
  </conditionalFormatting>
  <conditionalFormatting sqref="J165:J168">
    <cfRule type="expression" priority="341" dxfId="101">
      <formula>OR($G$164="",$G$164="нет")</formula>
    </cfRule>
  </conditionalFormatting>
  <conditionalFormatting sqref="I169:J169">
    <cfRule type="expression" priority="340" dxfId="101">
      <formula>OR($G$164="",IF($G$164="да",$G$166="",$G$164))</formula>
    </cfRule>
  </conditionalFormatting>
  <conditionalFormatting sqref="I167:J167">
    <cfRule type="expression" priority="339" dxfId="101">
      <formula>OR($G$166="",$G$166="да")</formula>
    </cfRule>
  </conditionalFormatting>
  <conditionalFormatting sqref="I168:J168">
    <cfRule type="expression" priority="338" dxfId="101">
      <formula>OR($G$166="",$G$166="нет")</formula>
    </cfRule>
  </conditionalFormatting>
  <conditionalFormatting sqref="I171:J171">
    <cfRule type="expression" priority="337" dxfId="101">
      <formula>OR($G$169="",$G$169="нет")</formula>
    </cfRule>
  </conditionalFormatting>
  <conditionalFormatting sqref="J172:J173">
    <cfRule type="expression" priority="336" dxfId="101">
      <formula>$G$169=""</formula>
    </cfRule>
  </conditionalFormatting>
  <conditionalFormatting sqref="J174:J175">
    <cfRule type="expression" priority="335" dxfId="101">
      <formula>OR($G$173="",$G$173="нет")</formula>
    </cfRule>
  </conditionalFormatting>
  <conditionalFormatting sqref="I176:J176">
    <cfRule type="expression" priority="334" dxfId="101">
      <formula>OR($G$173="",$G$173="да")</formula>
    </cfRule>
  </conditionalFormatting>
  <conditionalFormatting sqref="I177:J177">
    <cfRule type="expression" priority="333" dxfId="101">
      <formula>$G$173=""</formula>
    </cfRule>
  </conditionalFormatting>
  <conditionalFormatting sqref="I178:J178">
    <cfRule type="expression" priority="332" dxfId="101">
      <formula>$G$177=""</formula>
    </cfRule>
  </conditionalFormatting>
  <conditionalFormatting sqref="J178:J181">
    <cfRule type="expression" priority="331" dxfId="101">
      <formula>$G$177="нет"</formula>
    </cfRule>
  </conditionalFormatting>
  <conditionalFormatting sqref="J179:J181">
    <cfRule type="expression" priority="327" dxfId="101">
      <formula>$G$178=""</formula>
    </cfRule>
    <cfRule type="expression" priority="330" dxfId="101">
      <formula>$G$177=""</formula>
    </cfRule>
  </conditionalFormatting>
  <conditionalFormatting sqref="J179:J180">
    <cfRule type="expression" priority="329" dxfId="101">
      <formula>$G$178="нет"</formula>
    </cfRule>
  </conditionalFormatting>
  <conditionalFormatting sqref="I181:J181">
    <cfRule type="expression" priority="328" dxfId="101">
      <formula>$G$178="да"</formula>
    </cfRule>
  </conditionalFormatting>
  <conditionalFormatting sqref="J186:J187">
    <cfRule type="expression" priority="326" dxfId="101">
      <formula>$G$182=""</formula>
    </cfRule>
  </conditionalFormatting>
  <conditionalFormatting sqref="J186">
    <cfRule type="expression" priority="324" dxfId="101">
      <formula>$G$182="нет"</formula>
    </cfRule>
  </conditionalFormatting>
  <conditionalFormatting sqref="I186:J186">
    <cfRule type="expression" priority="323" dxfId="101">
      <formula>$G$71="да"</formula>
    </cfRule>
  </conditionalFormatting>
  <conditionalFormatting sqref="J188:J189">
    <cfRule type="expression" priority="322" dxfId="101">
      <formula>$G$182=""</formula>
    </cfRule>
  </conditionalFormatting>
  <conditionalFormatting sqref="J190:J191">
    <cfRule type="expression" priority="321" dxfId="101">
      <formula>OR($G$189="",$G$189="нет")</formula>
    </cfRule>
  </conditionalFormatting>
  <conditionalFormatting sqref="J66:J69">
    <cfRule type="expression" priority="320" dxfId="101">
      <formula>OR($G$17="нет",$G$17="")</formula>
    </cfRule>
  </conditionalFormatting>
  <conditionalFormatting sqref="J18:J20">
    <cfRule type="expression" priority="319" dxfId="101">
      <formula>OR($G$17="",$G$17="да")</formula>
    </cfRule>
  </conditionalFormatting>
  <conditionalFormatting sqref="I182:J182">
    <cfRule type="expression" priority="318" dxfId="101">
      <formula>OR($G$177="",IF($G$177="да",$G$178="",$G$177="да"))</formula>
    </cfRule>
  </conditionalFormatting>
  <conditionalFormatting sqref="I20:J20">
    <cfRule type="expression" priority="218" dxfId="1">
      <formula>$J$20="ок"</formula>
    </cfRule>
    <cfRule type="expression" priority="317" dxfId="101">
      <formula>OR($G$19="",$G$19="нет")</formula>
    </cfRule>
  </conditionalFormatting>
  <conditionalFormatting sqref="I23:J23">
    <cfRule type="expression" priority="316" dxfId="101">
      <formula>$G$19=""</formula>
    </cfRule>
  </conditionalFormatting>
  <conditionalFormatting sqref="J24:J28">
    <cfRule type="expression" priority="315" dxfId="101">
      <formula>OR($G$23="",$G$23="нет")</formula>
    </cfRule>
  </conditionalFormatting>
  <conditionalFormatting sqref="I29:J29">
    <cfRule type="expression" priority="314" dxfId="101">
      <formula>OR($G$28="",$G$28="нет")</formula>
    </cfRule>
  </conditionalFormatting>
  <conditionalFormatting sqref="I30:J30">
    <cfRule type="expression" priority="313" dxfId="101">
      <formula>OR($G$29="",$G$29="нет")</formula>
    </cfRule>
  </conditionalFormatting>
  <conditionalFormatting sqref="J31:J32">
    <cfRule type="expression" priority="312" dxfId="101">
      <formula>OR($G$29="",$G$29="нет")</formula>
    </cfRule>
  </conditionalFormatting>
  <conditionalFormatting sqref="I33:J33">
    <cfRule type="expression" priority="309" dxfId="101">
      <formula>IF($G$28="да",$G$29="",$G$28="да")</formula>
    </cfRule>
    <cfRule type="expression" priority="311" dxfId="101">
      <formula>$G$28=""</formula>
    </cfRule>
  </conditionalFormatting>
  <conditionalFormatting sqref="J34:J36">
    <cfRule type="expression" priority="308" dxfId="101">
      <formula>OR($G$33="",$G$33="нет")</formula>
    </cfRule>
  </conditionalFormatting>
  <conditionalFormatting sqref="I37:J37">
    <cfRule type="expression" priority="307" dxfId="101">
      <formula>OR($G$33="",IF($G$33="да",$G$34="",$G$33="да"))</formula>
    </cfRule>
  </conditionalFormatting>
  <conditionalFormatting sqref="J38:J49">
    <cfRule type="expression" priority="306" dxfId="101">
      <formula>OR($G$37="",$G$37="нет")</formula>
    </cfRule>
  </conditionalFormatting>
  <conditionalFormatting sqref="J39:J40">
    <cfRule type="expression" priority="305" dxfId="101">
      <formula>OR($G$38="",$G$38="нет")</formula>
    </cfRule>
  </conditionalFormatting>
  <conditionalFormatting sqref="I41:J41">
    <cfRule type="expression" priority="304" dxfId="101">
      <formula>$G$38=""</formula>
    </cfRule>
  </conditionalFormatting>
  <conditionalFormatting sqref="J42:J43">
    <cfRule type="expression" priority="303" dxfId="101">
      <formula>OR($G$41="",$G$41="нет")</formula>
    </cfRule>
  </conditionalFormatting>
  <conditionalFormatting sqref="I44:J44">
    <cfRule type="expression" priority="302" dxfId="101">
      <formula>$G$41=""</formula>
    </cfRule>
  </conditionalFormatting>
  <conditionalFormatting sqref="J45:J46">
    <cfRule type="expression" priority="301" dxfId="101">
      <formula>OR($G$44="",$G$44="нет")</formula>
    </cfRule>
  </conditionalFormatting>
  <conditionalFormatting sqref="I47:J47">
    <cfRule type="expression" priority="300" dxfId="101">
      <formula>$G$44=""</formula>
    </cfRule>
  </conditionalFormatting>
  <conditionalFormatting sqref="J48:J49">
    <cfRule type="expression" priority="299" dxfId="101">
      <formula>OR($G$47="",$G$47="нет")</formula>
    </cfRule>
  </conditionalFormatting>
  <conditionalFormatting sqref="J50:J53">
    <cfRule type="expression" priority="298" dxfId="101">
      <formula>OR($G$23="",$G$23="да")</formula>
    </cfRule>
  </conditionalFormatting>
  <conditionalFormatting sqref="J52:J53">
    <cfRule type="expression" priority="297" dxfId="101">
      <formula>OR($G$51="",$G$51="нет")</formula>
    </cfRule>
  </conditionalFormatting>
  <conditionalFormatting sqref="I58:J58">
    <cfRule type="expression" priority="293" dxfId="101">
      <formula>IF($G$51="да",$G$52="",$G$51="да")</formula>
    </cfRule>
    <cfRule type="expression" priority="296" dxfId="101">
      <formula>$G$51=""</formula>
    </cfRule>
  </conditionalFormatting>
  <conditionalFormatting sqref="I53:J53">
    <cfRule type="expression" priority="295" dxfId="101">
      <formula>OR($G$52="",$G$52="нет")</formula>
    </cfRule>
  </conditionalFormatting>
  <conditionalFormatting sqref="J59:J61">
    <cfRule type="expression" priority="292" dxfId="101">
      <formula>OR($G$58="",$G$58="нет")</formula>
    </cfRule>
  </conditionalFormatting>
  <conditionalFormatting sqref="I61:J61">
    <cfRule type="expression" priority="291" dxfId="101">
      <formula>OR($G$60="",$G$60="нет")</formula>
    </cfRule>
  </conditionalFormatting>
  <conditionalFormatting sqref="I62:J62">
    <cfRule type="expression" priority="290" dxfId="101">
      <formula>OR($G$58="",IF($G$58="да",$G$60="",$G$58="да"))</formula>
    </cfRule>
  </conditionalFormatting>
  <conditionalFormatting sqref="J63:J65">
    <cfRule type="expression" priority="289" dxfId="101">
      <formula>OR($G$62="",$G$62="нет")</formula>
    </cfRule>
  </conditionalFormatting>
  <conditionalFormatting sqref="I65:J65">
    <cfRule type="expression" priority="288" dxfId="101">
      <formula>OR($G$64="",$G$64="нет")</formula>
    </cfRule>
  </conditionalFormatting>
  <conditionalFormatting sqref="J68:J69">
    <cfRule type="expression" priority="287" dxfId="101">
      <formula>OR($G$67="",$G$67="нет")</formula>
    </cfRule>
  </conditionalFormatting>
  <conditionalFormatting sqref="J116:J121">
    <cfRule type="expression" priority="285" dxfId="101">
      <formula>OR($G$67="",$G$67="да")</formula>
    </cfRule>
  </conditionalFormatting>
  <conditionalFormatting sqref="J71:J72">
    <cfRule type="expression" priority="282" dxfId="101">
      <formula>OR($G$69="",AND($G$69="нет",$G$70="нет"),AND($G$69="нет",$G$70=""))</formula>
    </cfRule>
  </conditionalFormatting>
  <conditionalFormatting sqref="J111:J115">
    <cfRule type="expression" priority="280" dxfId="101">
      <formula>OR($G$71="",$G$71="да")</formula>
    </cfRule>
  </conditionalFormatting>
  <conditionalFormatting sqref="J78:J80">
    <cfRule type="expression" priority="278" dxfId="101">
      <formula>$G$76=""</formula>
    </cfRule>
    <cfRule type="expression" priority="277" dxfId="101">
      <formula>$G$76="нет"</formula>
    </cfRule>
  </conditionalFormatting>
  <conditionalFormatting sqref="J90:J92">
    <cfRule type="expression" priority="276" dxfId="101">
      <formula>OR($G$89="",$G$89="нет")</formula>
    </cfRule>
  </conditionalFormatting>
  <conditionalFormatting sqref="I93:J93">
    <cfRule type="expression" priority="275" dxfId="101">
      <formula>OR($G$89="",AND($G$89="да",$G$90=""))</formula>
    </cfRule>
  </conditionalFormatting>
  <conditionalFormatting sqref="J94:J105">
    <cfRule type="expression" priority="274" dxfId="101">
      <formula>OR($G$93="",$G$93="нет")</formula>
    </cfRule>
  </conditionalFormatting>
  <conditionalFormatting sqref="I106:J106">
    <cfRule type="expression" priority="273" dxfId="101">
      <formula>OR($G$93="",AND($G$93="да",$G$103=""))</formula>
    </cfRule>
  </conditionalFormatting>
  <conditionalFormatting sqref="J95:J96">
    <cfRule type="expression" priority="272" dxfId="101">
      <formula>OR($G$94="",$G$94="нет")</formula>
    </cfRule>
  </conditionalFormatting>
  <conditionalFormatting sqref="I97:J97">
    <cfRule type="expression" priority="271" dxfId="101">
      <formula>$G$94=""</formula>
    </cfRule>
  </conditionalFormatting>
  <conditionalFormatting sqref="J98:J99">
    <cfRule type="expression" priority="270" dxfId="101">
      <formula>OR($G$97="",$G$97="нет")</formula>
    </cfRule>
  </conditionalFormatting>
  <conditionalFormatting sqref="I100:J100">
    <cfRule type="expression" priority="269" dxfId="101">
      <formula>$G$97=""</formula>
    </cfRule>
  </conditionalFormatting>
  <conditionalFormatting sqref="J101:J102">
    <cfRule type="expression" priority="268" dxfId="101">
      <formula>OR($G$100="",$G$100="нет")</formula>
    </cfRule>
  </conditionalFormatting>
  <conditionalFormatting sqref="I103:J103">
    <cfRule type="expression" priority="267" dxfId="101">
      <formula>$G$100=""</formula>
    </cfRule>
  </conditionalFormatting>
  <conditionalFormatting sqref="J104:J105">
    <cfRule type="expression" priority="266" dxfId="101">
      <formula>OR($G$103="",$G$103="нет")</formula>
    </cfRule>
  </conditionalFormatting>
  <conditionalFormatting sqref="J107:J110">
    <cfRule type="expression" priority="265" dxfId="101">
      <formula>OR($G$106="",$G$106="нет")</formula>
    </cfRule>
  </conditionalFormatting>
  <conditionalFormatting sqref="J108:J110">
    <cfRule type="expression" priority="264" dxfId="101">
      <formula>OR($G$107="",$G$107="нет")</formula>
    </cfRule>
  </conditionalFormatting>
  <conditionalFormatting sqref="I72:J72">
    <cfRule type="expression" priority="263" dxfId="101">
      <formula>OR($G$71="",$G$71="да")</formula>
    </cfRule>
  </conditionalFormatting>
  <conditionalFormatting sqref="J111:J112">
    <cfRule type="expression" priority="260" dxfId="101">
      <formula>AND($G$107="да",$G$108="")</formula>
    </cfRule>
    <cfRule type="expression" priority="261" dxfId="101">
      <formula>AND($G$106="да",$G$107="")</formula>
    </cfRule>
    <cfRule type="expression" priority="262" dxfId="101">
      <formula>$G$106=""</formula>
    </cfRule>
  </conditionalFormatting>
  <conditionalFormatting sqref="J113:J115">
    <cfRule type="expression" priority="259" dxfId="101">
      <formula>OR($G$112="",$G$112="нет")</formula>
    </cfRule>
  </conditionalFormatting>
  <conditionalFormatting sqref="I144:J144">
    <cfRule type="expression" priority="220" dxfId="101">
      <formula>$G$17=""</formula>
    </cfRule>
    <cfRule type="expression" priority="222" dxfId="101">
      <formula>AND($G$17="нет",$G$23="")</formula>
    </cfRule>
    <cfRule type="expression" priority="223" dxfId="101">
      <formula>AND($G$62="да",$G$64="")</formula>
    </cfRule>
    <cfRule type="expression" priority="224" dxfId="101">
      <formula>AND($G$23="нет",$G$62="")</formula>
    </cfRule>
    <cfRule type="expression" priority="225" dxfId="101">
      <formula>AND($G$23="да",$G$37="")</formula>
    </cfRule>
    <cfRule type="expression" priority="226" dxfId="101">
      <formula>AND($G$37="да",$G$47="")</formula>
    </cfRule>
    <cfRule type="expression" priority="228" dxfId="101">
      <formula>AND($G$17="да",$G$67="")</formula>
    </cfRule>
    <cfRule type="expression" priority="241" dxfId="101">
      <formula>AND($G$129="да",$G$140="")</formula>
    </cfRule>
    <cfRule type="expression" priority="242" dxfId="101">
      <formula>AND($G$129="да",$G$140="да",$G$142="")</formula>
    </cfRule>
    <cfRule type="expression" priority="243" dxfId="101">
      <formula>AND($G$67="нет",$G$129="")</formula>
    </cfRule>
    <cfRule type="expression" priority="253" dxfId="101">
      <formula>AND($G$107="да",$G$108="")</formula>
    </cfRule>
    <cfRule type="expression" priority="256" dxfId="101">
      <formula>AND($G$106="да",$G$107="")</formula>
    </cfRule>
    <cfRule type="expression" priority="257" dxfId="101">
      <formula>AND($G$71="да",$G$106="")</formula>
    </cfRule>
    <cfRule type="expression" priority="258" dxfId="101">
      <formula>AND($G$71="нет",$G$112="")</formula>
    </cfRule>
  </conditionalFormatting>
  <conditionalFormatting sqref="J118:J121">
    <cfRule type="expression" priority="252" dxfId="101">
      <formula>$G$117=""</formula>
    </cfRule>
  </conditionalFormatting>
  <conditionalFormatting sqref="J119:J121">
    <cfRule type="expression" priority="251" dxfId="101">
      <formula>OR(AND($G$117="нет",$G$118=""),AND($G$117="нет",$G$118="нет"))</formula>
    </cfRule>
  </conditionalFormatting>
  <conditionalFormatting sqref="J128:J129">
    <cfRule type="expression" priority="227" dxfId="101">
      <formula>$G$117=""</formula>
    </cfRule>
    <cfRule type="expression" priority="250" dxfId="101">
      <formula>AND($G$117="нет",$G$118="")</formula>
    </cfRule>
  </conditionalFormatting>
  <conditionalFormatting sqref="I118:J118">
    <cfRule type="expression" priority="246" dxfId="101">
      <formula>$G$117="да"</formula>
    </cfRule>
  </conditionalFormatting>
  <conditionalFormatting sqref="J123:J125">
    <cfRule type="expression" priority="245" dxfId="101">
      <formula>OR($G$121="",$G$121="нет")</formula>
    </cfRule>
  </conditionalFormatting>
  <conditionalFormatting sqref="J130:J143">
    <cfRule type="expression" priority="244" dxfId="101">
      <formula>OR($G$129="",$G$129="нет")</formula>
    </cfRule>
  </conditionalFormatting>
  <conditionalFormatting sqref="J131:J135">
    <cfRule type="expression" priority="240" dxfId="101">
      <formula>OR($G$130="",$G$130="нет")</formula>
    </cfRule>
  </conditionalFormatting>
  <conditionalFormatting sqref="J132:J135">
    <cfRule type="expression" priority="239" dxfId="101">
      <formula>OR($G$131="",$G$131="нет")</formula>
    </cfRule>
  </conditionalFormatting>
  <conditionalFormatting sqref="I136:J136">
    <cfRule type="expression" priority="236" dxfId="101">
      <formula>AND($G$130="да",$G$131="")</formula>
    </cfRule>
    <cfRule type="expression" priority="238" dxfId="101">
      <formula>$G$130=""</formula>
    </cfRule>
  </conditionalFormatting>
  <conditionalFormatting sqref="J137:J139">
    <cfRule type="expression" priority="235" dxfId="101">
      <formula>OR($G$136="",$G$136="нет")</formula>
    </cfRule>
  </conditionalFormatting>
  <conditionalFormatting sqref="I139:J139">
    <cfRule type="expression" priority="234" dxfId="101">
      <formula>OR($G$138="",$G$138="нет")</formula>
    </cfRule>
  </conditionalFormatting>
  <conditionalFormatting sqref="I140:J140">
    <cfRule type="expression" priority="229" dxfId="101">
      <formula>$G$136=""</formula>
    </cfRule>
    <cfRule type="expression" priority="230" dxfId="101">
      <formula>$G$130=""</formula>
    </cfRule>
    <cfRule type="expression" priority="233" dxfId="101">
      <formula>AND($G$136="да",$G$138="")</formula>
    </cfRule>
  </conditionalFormatting>
  <conditionalFormatting sqref="J141:J143">
    <cfRule type="expression" priority="232" dxfId="101">
      <formula>OR($G$140="",$G$140="нет")</formula>
    </cfRule>
  </conditionalFormatting>
  <conditionalFormatting sqref="I143:J143">
    <cfRule type="expression" priority="231" dxfId="101">
      <formula>OR($G$142="",$G$142="нет")</formula>
    </cfRule>
  </conditionalFormatting>
  <conditionalFormatting sqref="F54:H54">
    <cfRule type="expression" priority="217" dxfId="101">
      <formula>OR($G$17="",$G$17="да")</formula>
    </cfRule>
    <cfRule type="expression" priority="216" dxfId="101">
      <formula>OR($G$23="",$G$23="да")</formula>
    </cfRule>
  </conditionalFormatting>
  <conditionalFormatting sqref="E54">
    <cfRule type="expression" priority="215" dxfId="101">
      <formula>OR($G$17="",$G$17="да")</formula>
    </cfRule>
    <cfRule type="expression" priority="214" dxfId="101">
      <formula>OR($G$23="",$G$23="да")</formula>
    </cfRule>
  </conditionalFormatting>
  <conditionalFormatting sqref="K54">
    <cfRule type="expression" priority="213" dxfId="101">
      <formula>OR($G$17="",$G$17="да")</formula>
    </cfRule>
    <cfRule type="expression" priority="212" dxfId="101">
      <formula>OR($G$23="",$G$23="да")</formula>
    </cfRule>
  </conditionalFormatting>
  <conditionalFormatting sqref="I54:J54">
    <cfRule type="expression" priority="211" dxfId="101">
      <formula>OR($G$17="",$G$17="да")</formula>
    </cfRule>
    <cfRule type="expression" priority="210" dxfId="101">
      <formula>OR($G$23="",$G$23="да")</formula>
    </cfRule>
  </conditionalFormatting>
  <conditionalFormatting sqref="B55:K55">
    <cfRule type="expression" priority="192" dxfId="101">
      <formula>$G$51="нет"</formula>
    </cfRule>
    <cfRule type="expression" priority="208" dxfId="101">
      <formula>$G$52="нет"</formula>
    </cfRule>
  </conditionalFormatting>
  <conditionalFormatting sqref="B170:D170">
    <cfRule type="expression" priority="207" dxfId="101">
      <formula>OR($G$169="",$G$169="нет")</formula>
    </cfRule>
  </conditionalFormatting>
  <conditionalFormatting sqref="E170">
    <cfRule type="expression" priority="206" dxfId="101">
      <formula>OR($G$169="",$G$169="нет")</formula>
    </cfRule>
  </conditionalFormatting>
  <conditionalFormatting sqref="K170">
    <cfRule type="expression" priority="205" dxfId="101">
      <formula>OR($G$169="",$G$169="нет")</formula>
    </cfRule>
  </conditionalFormatting>
  <conditionalFormatting sqref="I170:J170">
    <cfRule type="expression" priority="204" dxfId="101">
      <formula>OR($G$169="",$G$169="нет")</formula>
    </cfRule>
  </conditionalFormatting>
  <conditionalFormatting sqref="B171:K171">
    <cfRule type="expression" priority="202" dxfId="101">
      <formula>$G$23="да"</formula>
    </cfRule>
    <cfRule type="expression" priority="203" dxfId="101">
      <formula>$G$17="да"</formula>
    </cfRule>
  </conditionalFormatting>
  <conditionalFormatting sqref="B21:D22">
    <cfRule type="expression" priority="201" dxfId="101">
      <formula>OR($G$17="",$G$17="да")</formula>
    </cfRule>
    <cfRule type="expression" priority="200" dxfId="101">
      <formula>OR($G$19="",$G$19="нет")</formula>
    </cfRule>
  </conditionalFormatting>
  <conditionalFormatting sqref="E21:E22">
    <cfRule type="expression" priority="199" dxfId="101">
      <formula>OR($G$17="",$G$17="да")</formula>
    </cfRule>
    <cfRule type="expression" priority="198" dxfId="101">
      <formula>OR($G$19="",$G$19="нет")</formula>
    </cfRule>
  </conditionalFormatting>
  <conditionalFormatting sqref="K21:K22">
    <cfRule type="expression" priority="197" dxfId="101">
      <formula>OR($G$17="",$G$17="да")</formula>
    </cfRule>
    <cfRule type="expression" priority="196" dxfId="101">
      <formula>OR($G$19="",$G$19="нет")</formula>
    </cfRule>
  </conditionalFormatting>
  <conditionalFormatting sqref="J21:J22">
    <cfRule type="expression" priority="195" dxfId="101">
      <formula>OR($G$17="",$G$17="да")</formula>
    </cfRule>
    <cfRule type="expression" priority="193" dxfId="1">
      <formula>$J$20="ок"</formula>
    </cfRule>
    <cfRule type="expression" priority="194" dxfId="101">
      <formula>OR($G$19="",$G$19="нет")</formula>
    </cfRule>
  </conditionalFormatting>
  <conditionalFormatting sqref="B26:K26">
    <cfRule type="expression" priority="191" dxfId="101">
      <formula>$G$19="нет"</formula>
    </cfRule>
  </conditionalFormatting>
  <conditionalFormatting sqref="B54:K54">
    <cfRule type="expression" priority="190" dxfId="101">
      <formula>$G$19="нет"</formula>
    </cfRule>
  </conditionalFormatting>
  <conditionalFormatting sqref="B144:K144">
    <cfRule type="expression" priority="186" dxfId="101">
      <formula>AND($G$67="да",$G$71="")</formula>
    </cfRule>
  </conditionalFormatting>
  <conditionalFormatting sqref="G145">
    <cfRule type="expression" priority="140" dxfId="286">
      <formula>AND($G$69="нет",$G$70="нет",OR($G$106="нет",$G$107="нет",$G$108="нет",$G$108="да"))</formula>
    </cfRule>
    <cfRule type="expression" priority="181" dxfId="286">
      <formula>AND($G$23="нет",OR($G$62="нет",$G$64="нет",$G$64="да"))</formula>
    </cfRule>
    <cfRule type="expression" priority="182" dxfId="286">
      <formula>AND($G$23="да",OR($G$37="нет",$G$47="да",$G$47="нет"))</formula>
    </cfRule>
    <cfRule type="expression" priority="183" dxfId="286">
      <formula>AND($G$67="нет",OR($G$129="нет",$G$140="нет",$G$142="да",$G$142="нет"))</formula>
    </cfRule>
    <cfRule type="expression" priority="184" dxfId="286">
      <formula>OR($G$106="нет",$G$107="нет",$G$108="нет",$G$108="да")</formula>
    </cfRule>
  </conditionalFormatting>
  <conditionalFormatting sqref="B145">
    <cfRule type="expression" priority="138" dxfId="286">
      <formula>AND($G$69="нет",$G$70="нет",OR($G$106="нет",$G$107="нет",$G$108="нет",$G$108="да"))</formula>
    </cfRule>
    <cfRule type="expression" priority="176" dxfId="286">
      <formula>AND($G$23="нет",OR($G$62="нет",$G$64="нет",$G$64="да"))</formula>
    </cfRule>
    <cfRule type="expression" priority="177" dxfId="286">
      <formula>AND($G$23="да",OR($G$37="нет",$G$47="да",$G$47="нет"))</formula>
    </cfRule>
    <cfRule type="expression" priority="178" dxfId="286">
      <formula>AND($G$67="нет",OR($G$129="нет",$G$140="нет",$G$142="да",$G$142="нет"))</formula>
    </cfRule>
    <cfRule type="expression" priority="179" dxfId="286">
      <formula>OR($G$106="нет",$G$107="нет",$G$108="нет",$G$108="да")</formula>
    </cfRule>
  </conditionalFormatting>
  <conditionalFormatting sqref="C145">
    <cfRule type="expression" priority="139" dxfId="306">
      <formula>AND($G$69="нет",$G$70="нет",OR($G$106="нет",$G$107="нет",$G$108="нет",$G$108="да"))</formula>
    </cfRule>
    <cfRule type="expression" priority="171" dxfId="306">
      <formula>AND($G$23="нет",OR($G$62="нет",$G$64="нет",$G$64="да"))</formula>
    </cfRule>
    <cfRule type="expression" priority="172" dxfId="306">
      <formula>AND($G$23="да",OR($G$37="нет",$G$47="да",$G$47="нет"))</formula>
    </cfRule>
    <cfRule type="expression" priority="173" dxfId="306">
      <formula>AND($G$67="нет",OR($G$129="нет",$G$140="нет",$G$142="да",$G$142="нет"))</formula>
    </cfRule>
    <cfRule type="expression" priority="174" dxfId="306">
      <formula>OR($G$106="нет",$G$107="нет",$G$108="нет",$G$108="да")</formula>
    </cfRule>
  </conditionalFormatting>
  <conditionalFormatting sqref="D145">
    <cfRule type="expression" priority="166" dxfId="286">
      <formula>AND($G$23="нет",OR($G$62="нет",$G$64="нет",$G$64="да"))</formula>
    </cfRule>
    <cfRule type="expression" priority="167" dxfId="286">
      <formula>AND($G$23="да",OR($G$37="нет",$G$47="да",$G$47="нет"))</formula>
    </cfRule>
    <cfRule type="expression" priority="168" dxfId="286">
      <formula>AND($G$67="нет",OR($G$129="нет",$G$140="нет",$G$142="да",$G$142="нет"))</formula>
    </cfRule>
    <cfRule type="expression" priority="169" dxfId="286">
      <formula>OR($G$106="нет",$G$107="нет",$G$108="нет",$G$108="да")</formula>
    </cfRule>
  </conditionalFormatting>
  <conditionalFormatting sqref="E145">
    <cfRule type="expression" priority="161" dxfId="286">
      <formula>AND($G$23="нет",OR($G$62="нет",$G$64="нет",$G$64="да"))</formula>
    </cfRule>
    <cfRule type="expression" priority="162" dxfId="286">
      <formula>AND($G$23="да",OR($G$37="нет",$G$47="да",$G$47="нет"))</formula>
    </cfRule>
    <cfRule type="expression" priority="163" dxfId="286">
      <formula>AND($G$67="нет",OR($G$129="нет",$G$140="нет",$G$142="да",$G$142="нет"))</formula>
    </cfRule>
    <cfRule type="expression" priority="164" dxfId="286">
      <formula>OR($G$106="нет",$G$107="нет",$G$108="нет",$G$108="да")</formula>
    </cfRule>
  </conditionalFormatting>
  <conditionalFormatting sqref="F145">
    <cfRule type="expression" priority="156" dxfId="286">
      <formula>AND($G$23="нет",OR($G$62="нет",$G$64="нет",$G$64="да"))</formula>
    </cfRule>
    <cfRule type="expression" priority="157" dxfId="286">
      <formula>AND($G$23="да",OR($G$37="нет",$G$47="да",$G$47="нет"))</formula>
    </cfRule>
    <cfRule type="expression" priority="158" dxfId="286">
      <formula>AND($G$67="нет",OR($G$129="нет",$G$140="нет",$G$142="да",$G$142="нет"))</formula>
    </cfRule>
    <cfRule type="expression" priority="159" dxfId="286">
      <formula>OR($G$106="нет",$G$107="нет",$G$108="нет",$G$108="да")</formula>
    </cfRule>
  </conditionalFormatting>
  <conditionalFormatting sqref="H145">
    <cfRule type="expression" priority="151" dxfId="286">
      <formula>AND($G$23="нет",OR($G$62="нет",$G$64="нет",$G$64="да"))</formula>
    </cfRule>
    <cfRule type="expression" priority="152" dxfId="286">
      <formula>AND($G$23="да",OR($G$37="нет",$G$47="да",$G$47="нет"))</formula>
    </cfRule>
    <cfRule type="expression" priority="153" dxfId="286">
      <formula>AND($G$67="нет",OR($G$129="нет",$G$140="нет",$G$142="да",$G$142="нет"))</formula>
    </cfRule>
    <cfRule type="expression" priority="154" dxfId="286">
      <formula>OR($G$106="нет",$G$107="нет",$G$108="нет",$G$108="да")</formula>
    </cfRule>
  </conditionalFormatting>
  <conditionalFormatting sqref="I145:J145">
    <cfRule type="expression" priority="146" dxfId="286">
      <formula>AND($G$23="нет",OR($G$62="нет",$G$64="нет",$G$64="да"))</formula>
    </cfRule>
    <cfRule type="expression" priority="147" dxfId="286">
      <formula>AND($G$23="да",OR($G$37="нет",$G$47="да",$G$47="нет"))</formula>
    </cfRule>
    <cfRule type="expression" priority="148" dxfId="286">
      <formula>AND($G$67="нет",OR($G$129="нет",$G$140="нет",$G$142="да",$G$142="нет"))</formula>
    </cfRule>
    <cfRule type="expression" priority="149" dxfId="286">
      <formula>OR($G$106="нет",$G$107="нет",$G$108="нет",$G$108="да")</formula>
    </cfRule>
  </conditionalFormatting>
  <conditionalFormatting sqref="K145">
    <cfRule type="expression" priority="137" dxfId="281">
      <formula>AND($G$69="нет",$G$70="нет",OR($G$106="нет",$G$107="нет",$G$108="нет",$G$108="да"))</formula>
    </cfRule>
    <cfRule type="expression" priority="141" dxfId="281">
      <formula>AND($G$23="нет",OR($G$62="нет",$G$64="нет",$G$64="да"))</formula>
    </cfRule>
    <cfRule type="expression" priority="142" dxfId="281">
      <formula>AND($G$23="да",OR($G$37="нет",$G$47="да",$G$47="нет"))</formula>
    </cfRule>
    <cfRule type="expression" priority="143" dxfId="281">
      <formula>AND($G$67="нет",OR($G$129="нет",$G$140="нет",$G$142="да",$G$142="нет"))</formula>
    </cfRule>
    <cfRule type="expression" priority="144" dxfId="281">
      <formula>OR($G$106="нет",$G$107="нет",$G$108="нет",$G$108="да")</formula>
    </cfRule>
  </conditionalFormatting>
  <conditionalFormatting sqref="F73:H73">
    <cfRule type="expression" priority="136" dxfId="101">
      <formula>OR($G$17="нет",$G$17="")</formula>
    </cfRule>
    <cfRule type="expression" priority="135" dxfId="101">
      <formula>OR($G$67="",$G$67="нет")</formula>
    </cfRule>
  </conditionalFormatting>
  <conditionalFormatting sqref="E73">
    <cfRule type="expression" priority="134" dxfId="101">
      <formula>OR($G$17="нет",$G$17="")</formula>
    </cfRule>
    <cfRule type="expression" priority="133" dxfId="101">
      <formula>OR($G$67="",$G$67="нет")</formula>
    </cfRule>
  </conditionalFormatting>
  <conditionalFormatting sqref="K73">
    <cfRule type="expression" priority="132" dxfId="101">
      <formula>OR($G$17="нет",$G$17="")</formula>
    </cfRule>
    <cfRule type="expression" priority="131" dxfId="101">
      <formula>OR($G$67="",$G$67="нет")</formula>
    </cfRule>
  </conditionalFormatting>
  <conditionalFormatting sqref="I73:J73">
    <cfRule type="expression" priority="130" dxfId="101">
      <formula>OR($G$17="нет",$G$17="")</formula>
    </cfRule>
    <cfRule type="expression" priority="129" dxfId="101">
      <formula>OR($G$67="",$G$67="нет")</formula>
    </cfRule>
  </conditionalFormatting>
  <conditionalFormatting sqref="F25:H25">
    <cfRule type="expression" priority="128" dxfId="101">
      <formula>OR($G$17="",$G$17="да")</formula>
    </cfRule>
    <cfRule type="expression" priority="127" dxfId="101">
      <formula>OR($G$23="",$G$23="нет")</formula>
    </cfRule>
  </conditionalFormatting>
  <conditionalFormatting sqref="E25">
    <cfRule type="expression" priority="126" dxfId="101">
      <formula>OR($G$17="",$G$17="да")</formula>
    </cfRule>
    <cfRule type="expression" priority="98" dxfId="101">
      <formula>OR($G$23="",$G$23="нет")</formula>
    </cfRule>
  </conditionalFormatting>
  <conditionalFormatting sqref="F122:H122">
    <cfRule type="expression" priority="97" dxfId="101">
      <formula>OR($G$17="нет",$G$17="")</formula>
    </cfRule>
  </conditionalFormatting>
  <conditionalFormatting sqref="B122:D122">
    <cfRule type="expression" priority="96" dxfId="101">
      <formula>OR($G$67="",$G$67="да")</formula>
    </cfRule>
    <cfRule type="expression" priority="95" dxfId="101">
      <formula>$G$117=""</formula>
    </cfRule>
    <cfRule type="expression" priority="94" dxfId="101">
      <formula>OR(AND($G$117="нет",$G$118=""),AND($G$117="нет",$G$118="нет"))</formula>
    </cfRule>
  </conditionalFormatting>
  <conditionalFormatting sqref="E122">
    <cfRule type="expression" priority="93" dxfId="101">
      <formula>OR($G$17="нет",$G$17="")</formula>
    </cfRule>
    <cfRule type="expression" priority="92" dxfId="101">
      <formula>OR($G$67="",$G$67="да")</formula>
    </cfRule>
    <cfRule type="expression" priority="91" dxfId="101">
      <formula>$G$117=""</formula>
    </cfRule>
    <cfRule type="expression" priority="90" dxfId="101">
      <formula>OR(AND($G$117="нет",$G$118=""),AND($G$117="нет",$G$118="нет"))</formula>
    </cfRule>
  </conditionalFormatting>
  <conditionalFormatting sqref="K122">
    <cfRule type="expression" priority="89" dxfId="101">
      <formula>OR($G$17="нет",$G$17="")</formula>
    </cfRule>
    <cfRule type="expression" priority="88" dxfId="101">
      <formula>OR($G$67="",$G$67="да")</formula>
    </cfRule>
    <cfRule type="expression" priority="87" dxfId="101">
      <formula>$G$117=""</formula>
    </cfRule>
    <cfRule type="expression" priority="86" dxfId="101">
      <formula>OR(AND($G$117="нет",$G$118=""),AND($G$117="нет",$G$118="нет"))</formula>
    </cfRule>
  </conditionalFormatting>
  <conditionalFormatting sqref="I122:J122">
    <cfRule type="expression" priority="85" dxfId="101">
      <formula>OR($G$17="нет",$G$17="")</formula>
    </cfRule>
    <cfRule type="expression" priority="84" dxfId="101">
      <formula>OR($G$67="",$G$67="да")</formula>
    </cfRule>
    <cfRule type="expression" priority="83" dxfId="101">
      <formula>$G$117=""</formula>
    </cfRule>
    <cfRule type="expression" priority="80" dxfId="101">
      <formula>OR(AND($G$117="нет",$G$118=""),AND($G$117="нет",$G$118="нет"))</formula>
    </cfRule>
  </conditionalFormatting>
  <conditionalFormatting sqref="B74:K77">
    <cfRule type="expression" priority="79" dxfId="101">
      <formula>OR($G$69="нет",$G$69="")</formula>
    </cfRule>
  </conditionalFormatting>
  <conditionalFormatting sqref="B70:K70">
    <cfRule type="expression" priority="78" dxfId="101">
      <formula>$G$69=""</formula>
    </cfRule>
  </conditionalFormatting>
  <conditionalFormatting sqref="H87">
    <cfRule type="expression" priority="77" dxfId="101">
      <formula>NOT($G$70="да")</formula>
    </cfRule>
  </conditionalFormatting>
  <conditionalFormatting sqref="B89:K89">
    <cfRule type="expression" priority="76" dxfId="101">
      <formula>$G$70=""</formula>
    </cfRule>
  </conditionalFormatting>
  <conditionalFormatting sqref="B73:K73 B84:K88">
    <cfRule type="expression" priority="75" dxfId="101">
      <formula>AND($G$69="нет",$G$70="нет",$G$89="нет",$G$93="нет",OR($G$106="нет",AND($G$106="да",$G$107="нет")),$G$169="нет")</formula>
    </cfRule>
  </conditionalFormatting>
  <conditionalFormatting sqref="E57">
    <cfRule type="expression" priority="74" dxfId="101">
      <formula>OR($G$58="",$G$58="нет")</formula>
    </cfRule>
    <cfRule type="expression" priority="73" dxfId="101">
      <formula>OR($G$60="",$G$60="нет")</formula>
    </cfRule>
  </conditionalFormatting>
  <conditionalFormatting sqref="I146:I147">
    <cfRule type="expression" priority="72" dxfId="101">
      <formula>OR($G$145="",$G$145="нет")</formula>
    </cfRule>
  </conditionalFormatting>
  <conditionalFormatting sqref="I149:I160">
    <cfRule type="expression" priority="71" dxfId="101">
      <formula>$G$148="нет"</formula>
    </cfRule>
  </conditionalFormatting>
  <conditionalFormatting sqref="I150:I151">
    <cfRule type="expression" priority="70" dxfId="101">
      <formula>OR($G$149="нет",$G$149="")</formula>
    </cfRule>
  </conditionalFormatting>
  <conditionalFormatting sqref="I153:I154">
    <cfRule type="expression" priority="69" dxfId="101">
      <formula>OR($G$152="",$G$152="нет")</formula>
    </cfRule>
  </conditionalFormatting>
  <conditionalFormatting sqref="I156:I157">
    <cfRule type="expression" priority="68" dxfId="101">
      <formula>OR($G$155="",$G$155="нет")</formula>
    </cfRule>
  </conditionalFormatting>
  <conditionalFormatting sqref="I159:I160">
    <cfRule type="expression" priority="67" dxfId="101">
      <formula>OR($G$158="нет",$G$158="")</formula>
    </cfRule>
  </conditionalFormatting>
  <conditionalFormatting sqref="I163:I164">
    <cfRule type="expression" priority="66" dxfId="101">
      <formula>$G$161=""</formula>
    </cfRule>
  </conditionalFormatting>
  <conditionalFormatting sqref="I165:I168">
    <cfRule type="expression" priority="65" dxfId="101">
      <formula>OR($G$164="",$G$164="нет")</formula>
    </cfRule>
  </conditionalFormatting>
  <conditionalFormatting sqref="I172:I173">
    <cfRule type="expression" priority="64" dxfId="101">
      <formula>$G$169=""</formula>
    </cfRule>
  </conditionalFormatting>
  <conditionalFormatting sqref="I174:I175">
    <cfRule type="expression" priority="63" dxfId="101">
      <formula>OR($G$173="",$G$173="нет")</formula>
    </cfRule>
  </conditionalFormatting>
  <conditionalFormatting sqref="I178:I181">
    <cfRule type="expression" priority="62" dxfId="101">
      <formula>$G$177="нет"</formula>
    </cfRule>
  </conditionalFormatting>
  <conditionalFormatting sqref="I179:I181">
    <cfRule type="expression" priority="59" dxfId="101">
      <formula>$G$178=""</formula>
    </cfRule>
    <cfRule type="expression" priority="61" dxfId="101">
      <formula>$G$177=""</formula>
    </cfRule>
  </conditionalFormatting>
  <conditionalFormatting sqref="I179:I180">
    <cfRule type="expression" priority="60" dxfId="101">
      <formula>$G$178="нет"</formula>
    </cfRule>
  </conditionalFormatting>
  <conditionalFormatting sqref="I186:I187">
    <cfRule type="expression" priority="58" dxfId="101">
      <formula>$G$182=""</formula>
    </cfRule>
  </conditionalFormatting>
  <conditionalFormatting sqref="I186">
    <cfRule type="expression" priority="57" dxfId="101">
      <formula>$G$182="нет"</formula>
    </cfRule>
  </conditionalFormatting>
  <conditionalFormatting sqref="I188:I189">
    <cfRule type="expression" priority="56" dxfId="101">
      <formula>$G$182=""</formula>
    </cfRule>
  </conditionalFormatting>
  <conditionalFormatting sqref="I190:I191">
    <cfRule type="expression" priority="55" dxfId="101">
      <formula>OR($G$189="",$G$189="нет")</formula>
    </cfRule>
  </conditionalFormatting>
  <conditionalFormatting sqref="I66:I69">
    <cfRule type="expression" priority="54" dxfId="101">
      <formula>OR($G$17="нет",$G$17="")</formula>
    </cfRule>
  </conditionalFormatting>
  <conditionalFormatting sqref="I18:I20">
    <cfRule type="expression" priority="53" dxfId="101">
      <formula>OR($G$17="",$G$17="да")</formula>
    </cfRule>
  </conditionalFormatting>
  <conditionalFormatting sqref="I24:I28">
    <cfRule type="expression" priority="52" dxfId="101">
      <formula>OR($G$23="",$G$23="нет")</formula>
    </cfRule>
  </conditionalFormatting>
  <conditionalFormatting sqref="I31:I32">
    <cfRule type="expression" priority="51" dxfId="101">
      <formula>OR($G$29="",$G$29="нет")</formula>
    </cfRule>
  </conditionalFormatting>
  <conditionalFormatting sqref="I34:I36">
    <cfRule type="expression" priority="50" dxfId="101">
      <formula>OR($G$33="",$G$33="нет")</formula>
    </cfRule>
  </conditionalFormatting>
  <conditionalFormatting sqref="I38:I49">
    <cfRule type="expression" priority="49" dxfId="101">
      <formula>OR($G$37="",$G$37="нет")</formula>
    </cfRule>
  </conditionalFormatting>
  <conditionalFormatting sqref="I39:I40">
    <cfRule type="expression" priority="48" dxfId="101">
      <formula>OR($G$38="",$G$38="нет")</formula>
    </cfRule>
  </conditionalFormatting>
  <conditionalFormatting sqref="I42:I43">
    <cfRule type="expression" priority="47" dxfId="101">
      <formula>OR($G$41="",$G$41="нет")</formula>
    </cfRule>
  </conditionalFormatting>
  <conditionalFormatting sqref="I45:I46">
    <cfRule type="expression" priority="46" dxfId="101">
      <formula>OR($G$44="",$G$44="нет")</formula>
    </cfRule>
  </conditionalFormatting>
  <conditionalFormatting sqref="I48:I49">
    <cfRule type="expression" priority="45" dxfId="101">
      <formula>OR($G$47="",$G$47="нет")</formula>
    </cfRule>
  </conditionalFormatting>
  <conditionalFormatting sqref="I50:I53">
    <cfRule type="expression" priority="44" dxfId="101">
      <formula>OR($G$23="",$G$23="да")</formula>
    </cfRule>
  </conditionalFormatting>
  <conditionalFormatting sqref="I52:I53">
    <cfRule type="expression" priority="43" dxfId="101">
      <formula>OR($G$51="",$G$51="нет")</formula>
    </cfRule>
  </conditionalFormatting>
  <conditionalFormatting sqref="I59:I61">
    <cfRule type="expression" priority="42" dxfId="101">
      <formula>OR($G$58="",$G$58="нет")</formula>
    </cfRule>
  </conditionalFormatting>
  <conditionalFormatting sqref="I63:I65">
    <cfRule type="expression" priority="41" dxfId="101">
      <formula>OR($G$62="",$G$62="нет")</formula>
    </cfRule>
  </conditionalFormatting>
  <conditionalFormatting sqref="I68:I69">
    <cfRule type="expression" priority="40" dxfId="101">
      <formula>OR($G$67="",$G$67="нет")</formula>
    </cfRule>
  </conditionalFormatting>
  <conditionalFormatting sqref="I116:I121">
    <cfRule type="expression" priority="39" dxfId="101">
      <formula>OR($G$67="",$G$67="да")</formula>
    </cfRule>
  </conditionalFormatting>
  <conditionalFormatting sqref="I71:I72">
    <cfRule type="expression" priority="38" dxfId="101">
      <formula>OR($G$69="",AND($G$69="нет",$G$70="нет"),AND($G$69="нет",$G$70=""))</formula>
    </cfRule>
  </conditionalFormatting>
  <conditionalFormatting sqref="I111:I115">
    <cfRule type="expression" priority="37" dxfId="101">
      <formula>OR($G$71="",$G$71="да")</formula>
    </cfRule>
  </conditionalFormatting>
  <conditionalFormatting sqref="I78:I80">
    <cfRule type="expression" priority="36" dxfId="101">
      <formula>$G$76=""</formula>
    </cfRule>
    <cfRule type="expression" priority="35" dxfId="101">
      <formula>$G$76="нет"</formula>
    </cfRule>
  </conditionalFormatting>
  <conditionalFormatting sqref="I90:I92">
    <cfRule type="expression" priority="34" dxfId="101">
      <formula>OR($G$89="",$G$89="нет")</formula>
    </cfRule>
  </conditionalFormatting>
  <conditionalFormatting sqref="I94:I105">
    <cfRule type="expression" priority="33" dxfId="101">
      <formula>OR($G$93="",$G$93="нет")</formula>
    </cfRule>
  </conditionalFormatting>
  <conditionalFormatting sqref="I95:I96">
    <cfRule type="expression" priority="32" dxfId="101">
      <formula>OR($G$94="",$G$94="нет")</formula>
    </cfRule>
  </conditionalFormatting>
  <conditionalFormatting sqref="I98:I99">
    <cfRule type="expression" priority="31" dxfId="101">
      <formula>OR($G$97="",$G$97="нет")</formula>
    </cfRule>
  </conditionalFormatting>
  <conditionalFormatting sqref="I101:I102">
    <cfRule type="expression" priority="30" dxfId="101">
      <formula>OR($G$100="",$G$100="нет")</formula>
    </cfRule>
  </conditionalFormatting>
  <conditionalFormatting sqref="I104:I105">
    <cfRule type="expression" priority="29" dxfId="101">
      <formula>OR($G$103="",$G$103="нет")</formula>
    </cfRule>
  </conditionalFormatting>
  <conditionalFormatting sqref="I107:I110">
    <cfRule type="expression" priority="28" dxfId="101">
      <formula>OR($G$106="",$G$106="нет")</formula>
    </cfRule>
  </conditionalFormatting>
  <conditionalFormatting sqref="I108:I110">
    <cfRule type="expression" priority="27" dxfId="101">
      <formula>OR($G$107="",$G$107="нет")</formula>
    </cfRule>
  </conditionalFormatting>
  <conditionalFormatting sqref="I111:I112">
    <cfRule type="expression" priority="24" dxfId="101">
      <formula>AND($G$107="да",$G$108="")</formula>
    </cfRule>
    <cfRule type="expression" priority="25" dxfId="101">
      <formula>AND($G$106="да",$G$107="")</formula>
    </cfRule>
    <cfRule type="expression" priority="26" dxfId="101">
      <formula>$G$106=""</formula>
    </cfRule>
  </conditionalFormatting>
  <conditionalFormatting sqref="I113:I115">
    <cfRule type="expression" priority="23" dxfId="101">
      <formula>OR($G$112="",$G$112="нет")</formula>
    </cfRule>
  </conditionalFormatting>
  <conditionalFormatting sqref="I118:I121">
    <cfRule type="expression" priority="22" dxfId="101">
      <formula>$G$117=""</formula>
    </cfRule>
  </conditionalFormatting>
  <conditionalFormatting sqref="I119:I121">
    <cfRule type="expression" priority="21" dxfId="101">
      <formula>OR(AND($G$117="нет",$G$118=""),AND($G$117="нет",$G$118="нет"))</formula>
    </cfRule>
  </conditionalFormatting>
  <conditionalFormatting sqref="I128:I129">
    <cfRule type="expression" priority="13" dxfId="101">
      <formula>$G$117=""</formula>
    </cfRule>
    <cfRule type="expression" priority="20" dxfId="101">
      <formula>AND($G$117="нет",$G$118="")</formula>
    </cfRule>
  </conditionalFormatting>
  <conditionalFormatting sqref="I123:I125">
    <cfRule type="expression" priority="19" dxfId="101">
      <formula>OR($G$121="",$G$121="нет")</formula>
    </cfRule>
  </conditionalFormatting>
  <conditionalFormatting sqref="I130:I143">
    <cfRule type="expression" priority="18" dxfId="101">
      <formula>OR($G$129="",$G$129="нет")</formula>
    </cfRule>
  </conditionalFormatting>
  <conditionalFormatting sqref="I131:I135">
    <cfRule type="expression" priority="17" dxfId="101">
      <formula>OR($G$130="",$G$130="нет")</formula>
    </cfRule>
  </conditionalFormatting>
  <conditionalFormatting sqref="I132:I135">
    <cfRule type="expression" priority="16" dxfId="101">
      <formula>OR($G$131="",$G$131="нет")</formula>
    </cfRule>
  </conditionalFormatting>
  <conditionalFormatting sqref="I137:I139">
    <cfRule type="expression" priority="15" dxfId="101">
      <formula>OR($G$136="",$G$136="нет")</formula>
    </cfRule>
  </conditionalFormatting>
  <conditionalFormatting sqref="I141:I143">
    <cfRule type="expression" priority="14" dxfId="101">
      <formula>OR($G$140="",$G$140="нет")</formula>
    </cfRule>
  </conditionalFormatting>
  <conditionalFormatting sqref="I21:I22">
    <cfRule type="expression" priority="12" dxfId="101">
      <formula>OR($G$17="",$G$17="да")</formula>
    </cfRule>
    <cfRule type="expression" priority="10" dxfId="1">
      <formula>$J$20="ок"</formula>
    </cfRule>
    <cfRule type="expression" priority="11" dxfId="101">
      <formula>OR($G$19="",$G$19="нет")</formula>
    </cfRule>
  </conditionalFormatting>
  <conditionalFormatting sqref="H110">
    <cfRule type="expression" priority="9" dxfId="101">
      <formula>OR($G$108="нет",$G$108="")</formula>
    </cfRule>
  </conditionalFormatting>
  <conditionalFormatting sqref="B186:K186">
    <cfRule type="expression" priority="8" dxfId="101">
      <formula>OR($G$183="да",$G$183="")</formula>
    </cfRule>
  </conditionalFormatting>
  <conditionalFormatting sqref="B184:K185">
    <cfRule type="expression" priority="6" dxfId="101">
      <formula>OR($G$183="нет",$G$183="")</formula>
    </cfRule>
    <cfRule type="expression" priority="7" dxfId="101">
      <formula>OR($G$182="нет",$G$182="")</formula>
    </cfRule>
  </conditionalFormatting>
  <conditionalFormatting sqref="B183:K183">
    <cfRule type="expression" priority="5" dxfId="101">
      <formula>OR($G$182="",$G$182="нет")</formula>
    </cfRule>
  </conditionalFormatting>
  <conditionalFormatting sqref="E5:E12 E73 E101 E156 G16:H16 G21 G22 G25 G26:H26 G27 G31:H31 G32:H32 G35:H35 G36:H36 G39:H39 G40 G42:H42 G43 G45:H45 G46 G48:H48 G49 G74:H75 G77:H77 G84:G85 G87:H87 G88 G91:H92 G95:H95 G96 G98:H98 G99 G101:H101 G102 G104:H104 G105 G109:H110 G119:H119 G120:H120 G122:H122 G126 G127 G133:H133 G134:H134 G135 G137:H137 G139 G141:H141 G143 G146:H146 G147 G150:H150 G151 G153:H153 G154 G156:H156 G157 G159:H159 G160 G162:H162 G170:H170 G174:H175 G176:H176 G179:H179 G180 G181:H181 G184:H184 G185 G186:H186 G193 H20 H165 H168 H187 H191">
    <cfRule type="expression" priority="776" dxfId="173">
      <formula>E5=""</formula>
    </cfRule>
  </conditionalFormatting>
  <conditionalFormatting sqref="G176:H176">
    <cfRule type="expression" priority="3" dxfId="101">
      <formula>OR($G$17="нет",$G$17="")</formula>
    </cfRule>
    <cfRule type="expression" priority="2" dxfId="101">
      <formula>OR($G$67="",$G$67="нет")</formula>
    </cfRule>
    <cfRule type="expression" priority="1" dxfId="101">
      <formula>AND($G$69="нет",$G$70="нет",$G$89="нет",$G$93="нет",OR($G$106="нет",AND($G$106="да",$G$107="нет")),$G$169="нет")</formula>
    </cfRule>
    <cfRule type="expression" priority="4" dxfId="173">
      <formula>G176=""</formula>
    </cfRule>
  </conditionalFormatting>
  <dataValidations xWindow="339" yWindow="399" count="4">
    <dataValidation sqref="G20:H22 G25:H27 G31:H32 G35:H36 G39:H40 G42:H43 G45:H46 G48:H49 G54:H57 G59:H59 G61:H61 G63:H63 G65:H65 G72:H75 G77:H80 G84:H85 G87:H88 G91:H92 G95:H96 G98:H99 G101:H102 G104:H105 G109:H110 G113:H115 G119:H120 G122:H127 G133:H135 G137:H137 G139:H139 G141:H141 G143:H143 G146:H147 G150:H151 G153:H154 G156:H157 G159:H160 G162:H162 G165:H165 G167:H168 G170:H171 G179:H181 G184:H187 G191:G198 G203:I203 H174:H176 H191:H192 H198:I199 I192" showDropDown="0" showInputMessage="1" showErrorMessage="1" allowBlank="1" type="decimal">
      <formula1>-10000000000</formula1>
      <formula2>10000000000</formula2>
    </dataValidation>
    <dataValidation sqref="C199" showDropDown="0" showInputMessage="1" showErrorMessage="1" allowBlank="1" type="list">
      <formula1>"Предприятие подтверждает исходные данные, но с размером эффекта не согласно,Предприятие с размером эффекта согласно"</formula1>
    </dataValidation>
    <dataValidation sqref="E8" showDropDown="0" showInputMessage="1" showErrorMessage="1" allowBlank="1" prompt="Знаение должно совпадать с Приложением 5"/>
    <dataValidation sqref="G174 G175 G176" showDropDown="0" showInputMessage="1" showErrorMessage="1" allowBlank="1" prompt="Если в соответствии с карточкой 5, запасы в потоке/НЗП были сокращены, то данная строка не может быть пустой" type="decimal">
      <formula1>-10000000000</formula1>
      <formula2>10000000000</formula2>
    </dataValidation>
  </dataValidations>
  <hyperlinks>
    <hyperlink xmlns:r="http://schemas.openxmlformats.org/officeDocument/2006/relationships" ref="K187" r:id="rId1"/>
  </hyperlinks>
  <pageMargins left="0.7086614173228347" right="0.7086614173228347" top="0.7480314960629921" bottom="0.7480314960629921" header="0.3149606299212598" footer="0.3149606299212598"/>
  <pageSetup orientation="portrait" paperSize="9" scale="56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Лист9">
    <tabColor rgb="FF00B050"/>
    <outlinePr summaryBelow="1" summaryRight="1"/>
    <pageSetUpPr/>
  </sheetPr>
  <dimension ref="A2:N15"/>
  <sheetViews>
    <sheetView workbookViewId="0">
      <selection activeCell="M2" sqref="M2"/>
    </sheetView>
  </sheetViews>
  <sheetFormatPr baseColWidth="10" defaultColWidth="8.83203125" defaultRowHeight="15"/>
  <cols>
    <col width="20.33203125" bestFit="1" customWidth="1" min="12" max="12"/>
  </cols>
  <sheetData>
    <row r="2">
      <c r="A2" t="inlineStr">
        <is>
          <t>м3</t>
        </is>
      </c>
      <c r="L2" t="inlineStr">
        <is>
          <t>Диапазон</t>
        </is>
      </c>
      <c r="M2">
        <f t="array" ref="M2">CELL("строка",'Чек-лист'!C16)</f>
        <v/>
      </c>
      <c r="N2">
        <f t="array" ref="N2">CELL("строка",'Чек-лист'!K191)</f>
        <v/>
      </c>
    </row>
    <row r="3">
      <c r="A3" t="inlineStr">
        <is>
          <t>л</t>
        </is>
      </c>
      <c r="L3" t="inlineStr">
        <is>
          <t>Строка "Вопросы"</t>
        </is>
      </c>
      <c r="M3">
        <f t="array" ref="M3">CELL("строка",'Чек-лист'!C15)</f>
        <v/>
      </c>
    </row>
    <row r="4">
      <c r="A4" t="inlineStr">
        <is>
          <t>кг</t>
        </is>
      </c>
      <c r="L4" t="inlineStr">
        <is>
          <t>Диапазон очистки</t>
        </is>
      </c>
      <c r="M4">
        <f t="array" ref="M4">CELL("строка",'Чек-лист'!G16)</f>
        <v/>
      </c>
      <c r="N4">
        <f t="array" ref="N4">CELL("строка",'Чек-лист'!K191)</f>
        <v/>
      </c>
    </row>
    <row r="5">
      <c r="A5" t="inlineStr">
        <is>
          <t>т</t>
        </is>
      </c>
      <c r="L5" t="inlineStr">
        <is>
          <t>ЕИ</t>
        </is>
      </c>
      <c r="M5" t="n">
        <v>73</v>
      </c>
    </row>
    <row r="6">
      <c r="A6" t="inlineStr">
        <is>
          <t>тут</t>
        </is>
      </c>
      <c r="L6" t="inlineStr">
        <is>
          <t>Строка для очистки 1</t>
        </is>
      </c>
      <c r="M6">
        <f t="array" ref="M6">CELL("строка",'Чек-лист'!E25)</f>
        <v/>
      </c>
    </row>
    <row r="7">
      <c r="L7" t="inlineStr">
        <is>
          <t>Строка для очистки 2</t>
        </is>
      </c>
      <c r="M7">
        <f t="array" ref="M7">CELL("строка",'Чек-лист'!G193:H193)</f>
        <v/>
      </c>
    </row>
    <row r="8">
      <c r="L8" t="inlineStr">
        <is>
          <t>Очистка шапки</t>
        </is>
      </c>
      <c r="M8">
        <f t="array" ref="M8">CELL("строка",'Чек-лист'!E5:H5)</f>
        <v/>
      </c>
      <c r="N8">
        <f t="array" ref="N8">CELL("строка",'Чек-лист'!E12:H12)</f>
        <v/>
      </c>
    </row>
    <row r="9">
      <c r="L9" t="inlineStr">
        <is>
          <t>Очистка шапки 1</t>
        </is>
      </c>
      <c r="M9">
        <f t="array" ref="M9">CELL("строка",'Чек-лист'!E6:H6)</f>
        <v/>
      </c>
    </row>
    <row r="10">
      <c r="L10" t="inlineStr">
        <is>
          <t>Очистка шапки 2</t>
        </is>
      </c>
      <c r="M10">
        <f t="array" ref="M10">CELL("строка",'Чек-лист'!E7:H7)</f>
        <v/>
      </c>
    </row>
    <row r="11">
      <c r="L11" t="inlineStr">
        <is>
          <t>Очистка шапки 3</t>
        </is>
      </c>
      <c r="M11">
        <f t="array" ref="M11">CELL("строка",'Чек-лист'!E8:H8)</f>
        <v/>
      </c>
    </row>
    <row r="12">
      <c r="L12" t="inlineStr">
        <is>
          <t>Очистка шапки 4</t>
        </is>
      </c>
      <c r="M12">
        <f t="array" ref="M12">CELL("строка",'Чек-лист'!E9:H9)</f>
        <v/>
      </c>
    </row>
    <row r="13">
      <c r="L13" t="inlineStr">
        <is>
          <t>Очистка шапки 5</t>
        </is>
      </c>
      <c r="M13">
        <f t="array" ref="M13">CELL("строка",'Чек-лист'!E10:H10)</f>
        <v/>
      </c>
    </row>
    <row r="14">
      <c r="L14" t="inlineStr">
        <is>
          <t>Очистка шапки 6</t>
        </is>
      </c>
      <c r="M14">
        <f t="array" ref="M14">CELL("строка",'Чек-лист'!E11:H11)</f>
        <v/>
      </c>
    </row>
    <row r="15">
      <c r="L15" t="inlineStr">
        <is>
          <t>Очистка шапки 7</t>
        </is>
      </c>
      <c r="M15">
        <f t="array" ref="M15">CELL("строка",'Чек-лист'!E12:H12)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Лист4" filterMode="1">
    <tabColor rgb="FF00B050"/>
    <outlinePr summaryBelow="0"/>
    <pageSetUpPr fitToPage="1"/>
  </sheetPr>
  <dimension ref="A2:M212"/>
  <sheetViews>
    <sheetView zoomScaleNormal="80" zoomScaleSheetLayoutView="90" workbookViewId="0">
      <pane ySplit="8" topLeftCell="A9" activePane="bottomLeft" state="frozen"/>
      <selection pane="bottomLeft" activeCell="E15" sqref="E15"/>
    </sheetView>
  </sheetViews>
  <sheetFormatPr baseColWidth="10" defaultColWidth="8.6640625" defaultRowHeight="15"/>
  <cols>
    <col width="12.6640625" customWidth="1" style="52" min="1" max="1"/>
    <col hidden="1" width="34.33203125" customWidth="1" style="39" min="2" max="2"/>
    <col width="70" customWidth="1" style="291" min="3" max="3"/>
    <col width="13.6640625" customWidth="1" style="53" min="4" max="4"/>
    <col width="24.6640625" customWidth="1" style="670" min="5" max="5"/>
    <col width="17.33203125" customWidth="1" style="670" min="6" max="6"/>
    <col width="26.33203125" customWidth="1" style="39" min="7" max="7"/>
    <col width="14.6640625" customWidth="1" style="52" min="8" max="8"/>
    <col width="13.5" customWidth="1" style="406" min="9" max="9"/>
    <col width="12" customWidth="1" style="406" min="10" max="10"/>
    <col width="8.6640625" customWidth="1" style="52" min="11" max="16384"/>
  </cols>
  <sheetData>
    <row r="1" hidden="1" ht="16.5" customHeight="1"/>
    <row r="2" hidden="1" ht="16.5" customHeight="1">
      <c r="A2" s="52" t="n"/>
      <c r="B2" s="118" t="inlineStr">
        <is>
          <t>Условные обозначения</t>
        </is>
      </c>
      <c r="C2" s="292" t="n"/>
      <c r="D2" s="119" t="n"/>
      <c r="E2" s="671" t="n"/>
      <c r="F2" s="671" t="n"/>
      <c r="G2" s="118" t="n"/>
      <c r="H2" s="384" t="n"/>
      <c r="I2" s="453" t="n"/>
      <c r="J2" s="454" t="n"/>
      <c r="K2" s="118" t="n"/>
      <c r="L2" s="118" t="n"/>
      <c r="M2" s="118" t="n"/>
    </row>
    <row r="3" hidden="1" ht="16.5" customHeight="1">
      <c r="A3" s="52" t="n"/>
      <c r="B3" s="117" t="n"/>
      <c r="C3" s="293" t="inlineStr">
        <is>
          <t>Ячейки с данными из чек-листа</t>
        </is>
      </c>
      <c r="D3" s="101" t="n"/>
      <c r="E3" s="672" t="n"/>
      <c r="F3" s="672" t="n"/>
      <c r="G3" s="117" t="n"/>
      <c r="H3" s="385" t="n"/>
      <c r="I3" s="455" t="n"/>
      <c r="J3" s="456" t="n"/>
      <c r="K3" s="117" t="n"/>
      <c r="L3" s="117" t="n"/>
      <c r="M3" s="117" t="n"/>
    </row>
    <row r="4" hidden="1" ht="16.5" customHeight="1"/>
    <row r="5" ht="16.5" customHeight="1">
      <c r="G5" s="471">
        <f>'Чек-лист'!K1</f>
        <v/>
      </c>
    </row>
    <row r="6" ht="16.5" customFormat="1" customHeight="1" s="62">
      <c r="B6" s="341" t="inlineStr">
        <is>
          <t>Экономический эффект (ЭЭ)</t>
        </is>
      </c>
      <c r="C6" s="341" t="inlineStr">
        <is>
          <t>Экономический эффект (ЭЭ)</t>
        </is>
      </c>
      <c r="D6" s="341" t="n"/>
      <c r="E6" s="341" t="n"/>
      <c r="F6" s="341" t="n"/>
      <c r="G6" s="341" t="n"/>
      <c r="I6" s="444" t="n"/>
      <c r="J6" s="444" t="n"/>
    </row>
    <row r="7" ht="16.5" customHeight="1">
      <c r="B7" s="522" t="inlineStr">
        <is>
          <t>Код</t>
        </is>
      </c>
      <c r="C7" s="524" t="inlineStr">
        <is>
          <t>Показатели</t>
        </is>
      </c>
      <c r="D7" s="673" t="inlineStr">
        <is>
          <t>Ед.изм.</t>
        </is>
      </c>
      <c r="E7" s="674" t="inlineStr">
        <is>
          <t>Значение показателя</t>
        </is>
      </c>
      <c r="F7" s="675" t="n"/>
      <c r="G7" s="667" t="n"/>
    </row>
    <row r="8" ht="16.5" customHeight="1" thickBot="1">
      <c r="B8" s="676" t="n"/>
      <c r="C8" s="676" t="n"/>
      <c r="D8" s="677" t="n"/>
      <c r="E8" s="678" t="inlineStr">
        <is>
          <t>До проекта</t>
        </is>
      </c>
      <c r="F8" s="678" t="inlineStr">
        <is>
          <t>После проекта</t>
        </is>
      </c>
      <c r="G8" s="337" t="inlineStr">
        <is>
          <t>Экономический эффект</t>
        </is>
      </c>
    </row>
    <row r="9" ht="16.5" customFormat="1" customHeight="1" s="59" thickTop="1">
      <c r="B9" s="198" t="inlineStr">
        <is>
          <t>ОП - РК</t>
        </is>
      </c>
      <c r="C9" s="334" t="inlineStr">
        <is>
          <t>Реальный ЭЭ (Операционная прибыль + % от Изменения РК)</t>
        </is>
      </c>
      <c r="D9" s="335" t="inlineStr">
        <is>
          <t>руб.</t>
        </is>
      </c>
      <c r="E9" s="442">
        <f>E12-E135+E155</f>
        <v/>
      </c>
      <c r="F9" s="442">
        <f>F12-F135+F155+F167</f>
        <v/>
      </c>
      <c r="G9" s="443">
        <f>F9-E9</f>
        <v/>
      </c>
      <c r="I9" s="679" t="n"/>
      <c r="J9" s="446" t="n"/>
    </row>
    <row r="10" ht="16.5" customFormat="1" customHeight="1" s="59">
      <c r="B10" s="198" t="n"/>
      <c r="C10" s="334" t="inlineStr">
        <is>
          <t>Потенциальный ЭЭ</t>
        </is>
      </c>
      <c r="D10" s="335" t="inlineStr">
        <is>
          <t>руб.</t>
        </is>
      </c>
      <c r="E10" s="442" t="n"/>
      <c r="F10" s="442" t="n"/>
      <c r="G10" s="443">
        <f>G13+G156</f>
        <v/>
      </c>
      <c r="I10" s="446" t="n"/>
      <c r="J10" s="446" t="n"/>
    </row>
    <row r="11" ht="16.5" customFormat="1" customHeight="1" s="59">
      <c r="B11" s="198" t="inlineStr">
        <is>
          <t xml:space="preserve"> </t>
        </is>
      </c>
      <c r="C11" s="334" t="inlineStr">
        <is>
          <t>Высвобождение денежных средств (Изменение РК)</t>
        </is>
      </c>
      <c r="D11" s="335" t="inlineStr">
        <is>
          <t>руб.</t>
        </is>
      </c>
      <c r="E11" s="442" t="n"/>
      <c r="F11" s="442">
        <f>F166</f>
        <v/>
      </c>
      <c r="G11" s="443">
        <f>G166</f>
        <v/>
      </c>
      <c r="I11" s="446" t="n"/>
      <c r="J11" s="446" t="n"/>
    </row>
    <row r="12" ht="16.5" customFormat="1" customHeight="1" s="59">
      <c r="B12" s="198" t="inlineStr">
        <is>
          <t>МП</t>
        </is>
      </c>
      <c r="C12" s="294" t="inlineStr">
        <is>
          <t>МАРЖИНАЛЬНАЯ ПРИБЫЛЬ</t>
        </is>
      </c>
      <c r="D12" s="58" t="inlineStr">
        <is>
          <t>руб.</t>
        </is>
      </c>
      <c r="E12" s="680">
        <f>E14-E15</f>
        <v/>
      </c>
      <c r="F12" s="680">
        <f>F14-F15</f>
        <v/>
      </c>
      <c r="G12" s="681">
        <f>F12-E12</f>
        <v/>
      </c>
      <c r="H12" s="682" t="n"/>
      <c r="I12" s="679" t="n"/>
      <c r="J12" s="446" t="n"/>
    </row>
    <row r="13" ht="16.5" customFormat="1" customHeight="1" s="59">
      <c r="B13" s="202" t="n"/>
      <c r="C13" s="295" t="inlineStr">
        <is>
          <t>Потенциальный эффект от увеличения производственных мощностей</t>
        </is>
      </c>
      <c r="D13" s="184" t="inlineStr">
        <is>
          <t>руб.</t>
        </is>
      </c>
      <c r="E13" s="683" t="n"/>
      <c r="F13" s="683" t="n"/>
      <c r="G13" s="684">
        <f>IF(IFERROR(G17+G46+G70+G109,0)&lt;0,0,IFERROR(G17+G46+G70+G109,0))</f>
        <v/>
      </c>
      <c r="H13" s="682" t="n"/>
      <c r="I13" s="679" t="n"/>
      <c r="J13" s="446" t="n"/>
    </row>
    <row r="14" ht="16.5" customFormat="1" customHeight="1" s="56">
      <c r="B14" s="193" t="inlineStr">
        <is>
          <t>МП1</t>
        </is>
      </c>
      <c r="C14" s="296" t="inlineStr">
        <is>
          <t>Выручка</t>
        </is>
      </c>
      <c r="D14" s="55" t="inlineStr">
        <is>
          <t>руб.</t>
        </is>
      </c>
      <c r="E14" s="685">
        <f>E71+E102+E110+E18+E47</f>
        <v/>
      </c>
      <c r="F14" s="685">
        <f>F71+F102+F110+F18+F47</f>
        <v/>
      </c>
      <c r="G14" s="686">
        <f>F14-E14</f>
        <v/>
      </c>
      <c r="I14" s="447" t="n"/>
      <c r="J14" s="447" t="n"/>
    </row>
    <row r="15" ht="16.5" customHeight="1">
      <c r="B15" s="193" t="inlineStr">
        <is>
          <t>МП2</t>
        </is>
      </c>
      <c r="C15" s="296" t="inlineStr">
        <is>
          <t>Переменные расходы на весь объем реализации</t>
        </is>
      </c>
      <c r="D15" s="55" t="inlineStr">
        <is>
          <t>руб.</t>
        </is>
      </c>
      <c r="E15" s="687">
        <f>IF(E19=0,E24,E19)+IF(E48=0,E52,E48)+E78+E105+E116</f>
        <v/>
      </c>
      <c r="F15" s="687">
        <f>IF(F19=0,F24,F19)+IF(F48=0,F52,F48)+F78+F105+F116</f>
        <v/>
      </c>
      <c r="G15" s="686">
        <f>E15-F15</f>
        <v/>
      </c>
    </row>
    <row r="16" hidden="1" ht="16.5" customFormat="1" customHeight="1" s="59">
      <c r="B16" s="198" t="n"/>
      <c r="C16" s="294" t="inlineStr">
        <is>
          <t>МАРЖИНАЛЬНАЯ ПРИБЫЛЬ (передел, серия)</t>
        </is>
      </c>
      <c r="D16" s="58" t="inlineStr">
        <is>
          <t>руб.</t>
        </is>
      </c>
      <c r="E16" s="688">
        <f>IFERROR(IF(E18=0,-E24,E18-E19),0)</f>
        <v/>
      </c>
      <c r="F16" s="688">
        <f>IFERROR(IF(F18=0,-F24,F18-F19),0)</f>
        <v/>
      </c>
      <c r="G16" s="689">
        <f>F16-E16</f>
        <v/>
      </c>
      <c r="I16" s="406" t="inlineStr">
        <is>
          <t>Объемы</t>
        </is>
      </c>
      <c r="J16" s="406">
        <f>E16*F20</f>
        <v/>
      </c>
    </row>
    <row r="17" hidden="1" ht="16.5" customFormat="1" customHeight="1" s="59">
      <c r="B17" s="202" t="n"/>
      <c r="C17" s="295" t="inlineStr">
        <is>
          <t>Потенциальный эффект от увеличения производственных мощностей</t>
        </is>
      </c>
      <c r="D17" s="184" t="inlineStr">
        <is>
          <t>руб.</t>
        </is>
      </c>
      <c r="E17" s="683" t="n"/>
      <c r="F17" s="683" t="n"/>
      <c r="G17" s="689">
        <f>IF(E19=0,0,IFERROR((E18*(F22-F20+1)-((E19-E24)*(1+F22-F20)+E24*(1+F23)*(1+F22-F20)))-(E18-E19)-(E24-F24),0))</f>
        <v/>
      </c>
      <c r="H17" s="387" t="n"/>
      <c r="I17" s="406" t="inlineStr">
        <is>
          <t>Нормы</t>
        </is>
      </c>
      <c r="J17" s="406">
        <f>E19*(1+F20)-F19</f>
        <v/>
      </c>
    </row>
    <row r="18" hidden="1" ht="16.5" customFormat="1" customHeight="1" s="56">
      <c r="B18" s="193" t="n"/>
      <c r="C18" s="296" t="inlineStr">
        <is>
          <t>Выручка от реализации ГП</t>
        </is>
      </c>
      <c r="D18" s="55" t="inlineStr">
        <is>
          <t>руб.</t>
        </is>
      </c>
      <c r="E18" s="690">
        <f>IF('Чек-лист'!G23="да",'Чек-лист'!G21,0)</f>
        <v/>
      </c>
      <c r="F18" s="690">
        <f>IFERROR(E18*(F20+1),0)</f>
        <v/>
      </c>
      <c r="G18" s="691" t="n"/>
      <c r="I18" s="406" t="n"/>
      <c r="J18" s="406" t="n"/>
    </row>
    <row r="19" hidden="1" ht="16.5" customHeight="1">
      <c r="B19" s="194" t="n"/>
      <c r="C19" s="296" t="inlineStr">
        <is>
          <t>Переменные расходы на весь объем реализации ГП</t>
        </is>
      </c>
      <c r="D19" s="55" t="inlineStr">
        <is>
          <t>руб.</t>
        </is>
      </c>
      <c r="E19" s="687">
        <f>IF('Чек-лист'!G23="да",'Чек-лист'!G22,0)</f>
        <v/>
      </c>
      <c r="F19" s="687">
        <f>IF(E19=0,0,IFERROR((E19-E24)*(1+F20)+E24*(1+F23)*(1+F20),0))</f>
        <v/>
      </c>
      <c r="G19" s="691" t="n"/>
      <c r="H19" s="692" t="n"/>
      <c r="I19" s="406" t="inlineStr">
        <is>
          <t>СиМ</t>
        </is>
      </c>
      <c r="J19" s="406">
        <f>(E26-F26)*(1+F20)*E21</f>
        <v/>
      </c>
    </row>
    <row r="20" hidden="1" ht="32" customHeight="1">
      <c r="B20" s="194" t="n"/>
      <c r="C20" s="297" t="inlineStr">
        <is>
          <t>Процент роста объема реализации ГП по результатм проекта (экспертаная оценка предприятия)</t>
        </is>
      </c>
      <c r="D20" s="55" t="n"/>
      <c r="E20" s="687" t="n"/>
      <c r="F20" s="192">
        <f>IF('Чек-лист'!H20&lt;'Экономический эффект'!F22,IF('Чек-лист'!G23="да",'Чек-лист'!H20,0),'Экономический эффект'!F22)</f>
        <v/>
      </c>
      <c r="G20" s="691" t="n"/>
      <c r="I20" s="406" t="inlineStr">
        <is>
          <t>ФОТ</t>
        </is>
      </c>
      <c r="J20" s="406">
        <f>(E29-F29)*(1+F20)*E21</f>
        <v/>
      </c>
    </row>
    <row r="21" hidden="1" ht="16.5" customHeight="1">
      <c r="B21" s="194" t="n"/>
      <c r="C21" s="296" t="inlineStr">
        <is>
          <t>Объем производства полуфабриката за год</t>
        </is>
      </c>
      <c r="D21" s="55" t="n"/>
      <c r="E21" s="687">
        <f>IFERROR('Чек-лист'!G27,0)</f>
        <v/>
      </c>
      <c r="F21" s="687">
        <f>E21*(1+F22)</f>
        <v/>
      </c>
      <c r="G21" s="693" t="n"/>
      <c r="H21" s="692" t="n"/>
      <c r="I21" s="406" t="inlineStr">
        <is>
          <t>ТЭР</t>
        </is>
      </c>
      <c r="J21" s="406">
        <f>((E33+E36+E39+E42)-(F33+F36+F39+F42))*(1+F20)*E21</f>
        <v/>
      </c>
    </row>
    <row r="22" hidden="1" ht="16.5" customHeight="1">
      <c r="B22" s="194" t="n"/>
      <c r="C22" s="297" t="inlineStr">
        <is>
          <t>Процент роста объема производства полуфабрикатов в результате проекта</t>
        </is>
      </c>
      <c r="D22" s="55" t="inlineStr">
        <is>
          <t>%</t>
        </is>
      </c>
      <c r="E22" s="687" t="n"/>
      <c r="F22" s="192">
        <f>IFERROR((1/'Чек-лист'!H26-1/'Чек-лист'!G26)/(1/'Чек-лист'!G26),0)</f>
        <v/>
      </c>
      <c r="G22" s="691" t="n"/>
      <c r="I22" s="694" t="n"/>
      <c r="K22" s="210" t="n"/>
    </row>
    <row r="23" hidden="1" ht="16.5" customHeight="1">
      <c r="B23" s="194" t="n"/>
      <c r="C23" s="297" t="inlineStr">
        <is>
          <t>Изменение удельных переменных ГП</t>
        </is>
      </c>
      <c r="D23" s="55" t="inlineStr">
        <is>
          <t>%</t>
        </is>
      </c>
      <c r="E23" s="687" t="n"/>
      <c r="F23" s="192">
        <f>IFERROR(F25/E25-1,0)</f>
        <v/>
      </c>
      <c r="G23" s="691" t="n"/>
      <c r="I23" s="694" t="n"/>
      <c r="K23" s="210" t="n"/>
    </row>
    <row r="24" hidden="1" ht="16.5" customHeight="1">
      <c r="B24" s="194" t="n"/>
      <c r="C24" s="297" t="inlineStr">
        <is>
          <t>Переменные расходы на объем полуфабрикатов до проекта</t>
        </is>
      </c>
      <c r="D24" s="55" t="n"/>
      <c r="E24" s="687">
        <f>E25*E21</f>
        <v/>
      </c>
      <c r="F24" s="687">
        <f>F25*E21</f>
        <v/>
      </c>
      <c r="G24" s="693" t="n"/>
      <c r="H24" s="692" t="n"/>
      <c r="I24" s="694" t="n"/>
    </row>
    <row r="25" hidden="1" ht="16.5" customFormat="1" customHeight="1" s="56">
      <c r="B25" s="193" t="n"/>
      <c r="C25" s="296" t="inlineStr">
        <is>
          <t>Переменные расходы на единицу продукции передела</t>
        </is>
      </c>
      <c r="D25" s="216" t="inlineStr">
        <is>
          <t>руб./ед.прод.</t>
        </is>
      </c>
      <c r="E25" s="687">
        <f>IFERROR('Чек-лист'!G25,0)</f>
        <v/>
      </c>
      <c r="F25" s="687">
        <f>IFERROR(E25-SUM(G26:G44),0)</f>
        <v/>
      </c>
      <c r="G25" s="693">
        <f>E25-F25</f>
        <v/>
      </c>
      <c r="H25" s="695" t="n"/>
      <c r="I25" s="696" t="n"/>
      <c r="J25" s="447" t="n"/>
    </row>
    <row r="26" hidden="1" ht="16.5" customHeight="1">
      <c r="B26" s="194" t="n"/>
      <c r="C26" s="297" t="inlineStr">
        <is>
          <t>Сырье и материалы</t>
        </is>
      </c>
      <c r="D26" s="268" t="inlineStr">
        <is>
          <t>руб./ед.прод.</t>
        </is>
      </c>
      <c r="E26" s="697">
        <f>(E27*E28)</f>
        <v/>
      </c>
      <c r="F26" s="697">
        <f>(F27*F28)</f>
        <v/>
      </c>
      <c r="G26" s="693">
        <f>-F26+E26</f>
        <v/>
      </c>
    </row>
    <row r="27" hidden="1" ht="16.5" customFormat="1" customHeight="1" s="61">
      <c r="B27" s="195" t="n"/>
      <c r="C27" s="298" t="inlineStr">
        <is>
          <t>Норма потребления</t>
        </is>
      </c>
      <c r="D27" s="215" t="inlineStr">
        <is>
          <t>ед.сырья/ед.прод.</t>
        </is>
      </c>
      <c r="E27" s="698">
        <f>IFERROR('Чек-лист'!G35,0)</f>
        <v/>
      </c>
      <c r="F27" s="698">
        <f>IFERROR('Чек-лист'!H35,0)</f>
        <v/>
      </c>
      <c r="G27" s="699" t="n"/>
      <c r="I27" s="449" t="n"/>
      <c r="J27" s="449" t="n"/>
    </row>
    <row r="28" hidden="1" ht="16.5" customFormat="1" customHeight="1" s="61">
      <c r="B28" s="195" t="n"/>
      <c r="C28" s="298" t="inlineStr">
        <is>
          <t>Цена</t>
        </is>
      </c>
      <c r="D28" s="215" t="inlineStr">
        <is>
          <t>руб./ед.сырья</t>
        </is>
      </c>
      <c r="E28" s="698">
        <f>IFERROR('Чек-лист'!G36,0)</f>
        <v/>
      </c>
      <c r="F28" s="698">
        <f>IFERROR(IF('Чек-лист'!H36="",E28,'Чек-лист'!H36),0)</f>
        <v/>
      </c>
      <c r="G28" s="699" t="n"/>
      <c r="I28" s="449" t="n"/>
      <c r="J28" s="449" t="n"/>
    </row>
    <row r="29" hidden="1" ht="16.5" customHeight="1">
      <c r="B29" s="194" t="n"/>
      <c r="C29" s="297" t="inlineStr">
        <is>
          <t>ФОТ и социальные отчисления</t>
        </is>
      </c>
      <c r="D29" s="268" t="inlineStr">
        <is>
          <t>руб./ед.прод.</t>
        </is>
      </c>
      <c r="E29" s="697">
        <f>(E30*E31*E32)</f>
        <v/>
      </c>
      <c r="F29" s="697">
        <f>(F30*F31*F32)</f>
        <v/>
      </c>
      <c r="G29" s="693">
        <f>-F29+E29</f>
        <v/>
      </c>
    </row>
    <row r="30" hidden="1" ht="16.5" customFormat="1" customHeight="1" s="61">
      <c r="B30" s="195" t="n"/>
      <c r="C30" s="298" t="inlineStr">
        <is>
          <t>Трудоемкость</t>
        </is>
      </c>
      <c r="D30" s="215" t="inlineStr">
        <is>
          <t>нормо-час/ед.прод.</t>
        </is>
      </c>
      <c r="E30" s="698">
        <f>IFERROR('Чек-лист'!G31,0)</f>
        <v/>
      </c>
      <c r="F30" s="698">
        <f>IFERROR('Чек-лист'!H31,0)</f>
        <v/>
      </c>
      <c r="G30" s="699" t="n"/>
      <c r="I30" s="450" t="n"/>
      <c r="J30" s="449" t="n"/>
    </row>
    <row r="31" hidden="1" ht="16.5" customFormat="1" customHeight="1" s="61">
      <c r="B31" s="195" t="n"/>
      <c r="C31" s="298" t="inlineStr">
        <is>
          <t>Ставка оплаты</t>
        </is>
      </c>
      <c r="D31" s="215" t="inlineStr">
        <is>
          <t>руб./нормо-час</t>
        </is>
      </c>
      <c r="E31" s="698">
        <f>IFERROR('Чек-лист'!G32,0)</f>
        <v/>
      </c>
      <c r="F31" s="698">
        <f>IFERROR(IF('Чек-лист'!H32="",E31,'Чек-лист'!H32),0)</f>
        <v/>
      </c>
      <c r="G31" s="699" t="n"/>
      <c r="I31" s="449" t="n"/>
      <c r="J31" s="449" t="n"/>
    </row>
    <row r="32" hidden="1" ht="16.5" customFormat="1" customHeight="1" s="61">
      <c r="B32" s="195" t="n"/>
      <c r="C32" s="298" t="inlineStr">
        <is>
          <t>Социальные отчисления</t>
        </is>
      </c>
      <c r="D32" s="215" t="inlineStr">
        <is>
          <t>%</t>
        </is>
      </c>
      <c r="E32" s="173" t="n">
        <v>1.3</v>
      </c>
      <c r="F32" s="173" t="n">
        <v>1.3</v>
      </c>
      <c r="G32" s="700" t="n"/>
      <c r="I32" s="449" t="n"/>
      <c r="J32" s="449" t="n"/>
    </row>
    <row r="33" hidden="1" ht="16.5" customHeight="1">
      <c r="B33" s="194" t="n"/>
      <c r="C33" s="297" t="inlineStr">
        <is>
          <t>Электроэнергия</t>
        </is>
      </c>
      <c r="D33" s="268" t="inlineStr">
        <is>
          <t>руб./ед.прод.</t>
        </is>
      </c>
      <c r="E33" s="697">
        <f>(E34*E35)</f>
        <v/>
      </c>
      <c r="F33" s="697">
        <f>(F34*F35)</f>
        <v/>
      </c>
      <c r="G33" s="693">
        <f>-F33+E33</f>
        <v/>
      </c>
    </row>
    <row r="34" hidden="1" ht="16.5" customFormat="1" customHeight="1" s="61">
      <c r="B34" s="195" t="n"/>
      <c r="C34" s="298" t="inlineStr">
        <is>
          <t>Норма потребления</t>
        </is>
      </c>
      <c r="D34" s="215" t="inlineStr">
        <is>
          <t>кВт/ед.прод.</t>
        </is>
      </c>
      <c r="E34" s="698">
        <f>IFERROR('Чек-лист'!G39,0)</f>
        <v/>
      </c>
      <c r="F34" s="698">
        <f>IFERROR('Чек-лист'!H39,0)</f>
        <v/>
      </c>
      <c r="G34" s="699" t="n"/>
      <c r="I34" s="449" t="n"/>
      <c r="J34" s="449" t="n"/>
    </row>
    <row r="35" hidden="1" ht="16.5" customFormat="1" customHeight="1" s="56">
      <c r="B35" s="195" t="n"/>
      <c r="C35" s="298" t="inlineStr">
        <is>
          <t>Тариф</t>
        </is>
      </c>
      <c r="D35" s="215" t="inlineStr">
        <is>
          <t>руб./КвтЧ</t>
        </is>
      </c>
      <c r="E35" s="698">
        <f>IFERROR('Чек-лист'!G40,0)</f>
        <v/>
      </c>
      <c r="F35" s="698">
        <f>E35</f>
        <v/>
      </c>
      <c r="G35" s="699" t="n"/>
      <c r="I35" s="447" t="n"/>
      <c r="J35" s="447" t="n"/>
    </row>
    <row r="36" hidden="1" ht="16.5" customHeight="1">
      <c r="B36" s="194" t="n"/>
      <c r="C36" s="297" t="inlineStr">
        <is>
          <t>Вода</t>
        </is>
      </c>
      <c r="D36" s="268" t="inlineStr">
        <is>
          <t>руб./ед.прод.</t>
        </is>
      </c>
      <c r="E36" s="697">
        <f>(E37*E38)</f>
        <v/>
      </c>
      <c r="F36" s="697">
        <f>(F37*F38)</f>
        <v/>
      </c>
      <c r="G36" s="693">
        <f>-F36+E36</f>
        <v/>
      </c>
    </row>
    <row r="37" hidden="1" ht="16.5" customFormat="1" customHeight="1" s="61">
      <c r="B37" s="195" t="n"/>
      <c r="C37" s="298" t="inlineStr">
        <is>
          <t>Норма потребления</t>
        </is>
      </c>
      <c r="D37" s="215" t="inlineStr">
        <is>
          <t>м3/ед.прод.</t>
        </is>
      </c>
      <c r="E37" s="698">
        <f>IFERROR('Чек-лист'!G42,0)</f>
        <v/>
      </c>
      <c r="F37" s="698">
        <f>IFERROR('Чек-лист'!H42,0)</f>
        <v/>
      </c>
      <c r="G37" s="699" t="n"/>
      <c r="I37" s="449" t="n"/>
      <c r="J37" s="449" t="n"/>
    </row>
    <row r="38" hidden="1" ht="16.5" customFormat="1" customHeight="1" s="56">
      <c r="B38" s="195" t="n"/>
      <c r="C38" s="298" t="inlineStr">
        <is>
          <t>Тариф</t>
        </is>
      </c>
      <c r="D38" s="215" t="inlineStr">
        <is>
          <t>руб./м3</t>
        </is>
      </c>
      <c r="E38" s="698">
        <f>IFERROR('Чек-лист'!G43,0)</f>
        <v/>
      </c>
      <c r="F38" s="698">
        <f>E38</f>
        <v/>
      </c>
      <c r="G38" s="699" t="n"/>
      <c r="I38" s="447" t="n"/>
      <c r="J38" s="447" t="n"/>
    </row>
    <row r="39" hidden="1" ht="16.5" customHeight="1">
      <c r="B39" s="194" t="n"/>
      <c r="C39" s="297" t="inlineStr">
        <is>
          <t>Газ</t>
        </is>
      </c>
      <c r="D39" s="268" t="inlineStr">
        <is>
          <t>руб./ед.прод.</t>
        </is>
      </c>
      <c r="E39" s="697">
        <f>(E40*E41)</f>
        <v/>
      </c>
      <c r="F39" s="697">
        <f>(F40*F41)</f>
        <v/>
      </c>
      <c r="G39" s="693">
        <f>-F39+E39</f>
        <v/>
      </c>
    </row>
    <row r="40" hidden="1" ht="16.5" customFormat="1" customHeight="1" s="61">
      <c r="B40" s="195" t="n"/>
      <c r="C40" s="298" t="inlineStr">
        <is>
          <t>Норма потребления</t>
        </is>
      </c>
      <c r="D40" s="215" t="inlineStr">
        <is>
          <t>м3/ед.прод.</t>
        </is>
      </c>
      <c r="E40" s="698">
        <f>IFERROR('Чек-лист'!G45,0)</f>
        <v/>
      </c>
      <c r="F40" s="698">
        <f>IFERROR('Чек-лист'!H45,0)</f>
        <v/>
      </c>
      <c r="G40" s="699" t="n"/>
      <c r="I40" s="449" t="n"/>
      <c r="J40" s="449" t="n"/>
    </row>
    <row r="41" hidden="1" ht="16.5" customFormat="1" customHeight="1" s="56">
      <c r="B41" s="195" t="n"/>
      <c r="C41" s="298" t="inlineStr">
        <is>
          <t>Тариф</t>
        </is>
      </c>
      <c r="D41" s="215" t="inlineStr">
        <is>
          <t>руб./м3</t>
        </is>
      </c>
      <c r="E41" s="698">
        <f>IFERROR('Чек-лист'!G46,0)</f>
        <v/>
      </c>
      <c r="F41" s="698">
        <f>E41</f>
        <v/>
      </c>
      <c r="G41" s="699" t="n"/>
      <c r="I41" s="447" t="n"/>
      <c r="J41" s="447" t="n"/>
    </row>
    <row r="42" hidden="1" ht="16.5" customHeight="1">
      <c r="B42" s="194" t="n"/>
      <c r="C42" s="297" t="inlineStr">
        <is>
          <t>Теплоэнергия</t>
        </is>
      </c>
      <c r="D42" s="268" t="inlineStr">
        <is>
          <t>руб./ед.прод.</t>
        </is>
      </c>
      <c r="E42" s="697">
        <f>(E43*E44)</f>
        <v/>
      </c>
      <c r="F42" s="697">
        <f>(F43*F44)</f>
        <v/>
      </c>
      <c r="G42" s="693">
        <f>-F42+E42</f>
        <v/>
      </c>
    </row>
    <row r="43" hidden="1" ht="16.5" customFormat="1" customHeight="1" s="61">
      <c r="B43" s="195" t="n"/>
      <c r="C43" s="298" t="inlineStr">
        <is>
          <t>Норма потребления</t>
        </is>
      </c>
      <c r="D43" s="215" t="inlineStr">
        <is>
          <t>Гкал/ед.прод.</t>
        </is>
      </c>
      <c r="E43" s="698">
        <f>IFERROR('Чек-лист'!G48,0)</f>
        <v/>
      </c>
      <c r="F43" s="698">
        <f>IFERROR('Чек-лист'!H48,0)</f>
        <v/>
      </c>
      <c r="G43" s="699" t="n"/>
      <c r="I43" s="449" t="n"/>
      <c r="J43" s="449" t="n"/>
    </row>
    <row r="44" hidden="1" ht="16.5" customFormat="1" customHeight="1" s="56">
      <c r="B44" s="195" t="n"/>
      <c r="C44" s="298" t="inlineStr">
        <is>
          <t>Тариф</t>
        </is>
      </c>
      <c r="D44" s="215" t="inlineStr">
        <is>
          <t>руб./Гкал</t>
        </is>
      </c>
      <c r="E44" s="698">
        <f>IFERROR('Чек-лист'!G49,0)</f>
        <v/>
      </c>
      <c r="F44" s="698">
        <f>E44</f>
        <v/>
      </c>
      <c r="G44" s="700" t="n"/>
      <c r="I44" s="447" t="n"/>
      <c r="J44" s="447" t="n"/>
    </row>
    <row r="45" hidden="1" ht="16.5" customFormat="1" customHeight="1" s="59">
      <c r="B45" s="198" t="n"/>
      <c r="C45" s="294" t="inlineStr">
        <is>
          <t>МАРЖИНАЛЬНАЯ ПРИБЫЛЬ (передел, заказ)</t>
        </is>
      </c>
      <c r="D45" s="58" t="inlineStr">
        <is>
          <t>руб.</t>
        </is>
      </c>
      <c r="E45" s="688">
        <f>IFERROR(IF(E47=0,-E52,E47-E48),0)</f>
        <v/>
      </c>
      <c r="F45" s="688">
        <f>IFERROR(IF(F47=0,-F52,F47-F48),0)</f>
        <v/>
      </c>
      <c r="G45" s="701">
        <f>IFERROR(F45-E45,0)</f>
        <v/>
      </c>
      <c r="I45" s="406" t="inlineStr">
        <is>
          <t>Объемы</t>
        </is>
      </c>
      <c r="J45" s="694">
        <f>E45*F49</f>
        <v/>
      </c>
    </row>
    <row r="46" hidden="1" ht="16.5" customFormat="1" customHeight="1" s="59">
      <c r="B46" s="202" t="n"/>
      <c r="C46" s="295" t="inlineStr">
        <is>
          <t>Потенциальный эффект от увеличения производственных мощностей</t>
        </is>
      </c>
      <c r="D46" s="184" t="inlineStr">
        <is>
          <t>руб.</t>
        </is>
      </c>
      <c r="E46" s="683" t="n"/>
      <c r="F46" s="683" t="n"/>
      <c r="G46" s="701">
        <f>IF(OR(E48=0,F51=0),0,IFERROR((E47*(F51-F49+1)-((E48-E52)*(1+F51-F49)+E52*(1+F53)*(1+F51-F49)))-(E47-E48)-(E52-F52),0))</f>
        <v/>
      </c>
      <c r="H46" s="682" t="n"/>
      <c r="I46" s="406" t="inlineStr">
        <is>
          <t>Нормы</t>
        </is>
      </c>
      <c r="J46" s="694">
        <f>E48*(1+F49)-F48</f>
        <v/>
      </c>
    </row>
    <row r="47" hidden="1" ht="16.5" customFormat="1" customHeight="1" s="56">
      <c r="B47" s="193" t="n"/>
      <c r="C47" s="296" t="inlineStr">
        <is>
          <t>Выручка от реализации заказов</t>
        </is>
      </c>
      <c r="D47" s="55" t="inlineStr">
        <is>
          <t>руб.</t>
        </is>
      </c>
      <c r="E47" s="690">
        <f>IF('Чек-лист'!G23="нет",'Чек-лист'!G21,0)</f>
        <v/>
      </c>
      <c r="F47" s="690">
        <f>IFERROR(E47*(F49+1),0)</f>
        <v/>
      </c>
      <c r="G47" s="691" t="n"/>
      <c r="I47" s="447" t="n"/>
      <c r="J47" s="447" t="n"/>
    </row>
    <row r="48" hidden="1" ht="16.5" customHeight="1">
      <c r="B48" s="194" t="n"/>
      <c r="C48" s="296" t="inlineStr">
        <is>
          <t>Переменные расходы на весь объем реализации заказов</t>
        </is>
      </c>
      <c r="D48" s="55" t="inlineStr">
        <is>
          <t>руб.</t>
        </is>
      </c>
      <c r="E48" s="687">
        <f>IF('Чек-лист'!G23="нет",'Чек-лист'!G22,0)</f>
        <v/>
      </c>
      <c r="F48" s="687">
        <f>IF(E48=0,0,IFERROR((E48-E52)*(1+F49)+E52*(1+F49)*(1+F53),0))</f>
        <v/>
      </c>
      <c r="G48" s="693">
        <f>-F48+E48</f>
        <v/>
      </c>
      <c r="I48" s="406" t="inlineStr">
        <is>
          <t>СиМ</t>
        </is>
      </c>
      <c r="J48" s="694">
        <f>(E54-F54)*(1+F49)</f>
        <v/>
      </c>
    </row>
    <row r="49" hidden="1" ht="32" customHeight="1">
      <c r="B49" s="194" t="n"/>
      <c r="C49" s="297" t="inlineStr">
        <is>
          <t>Процент роста объема реализации заказов по результатм проекта (экспертаная оценка предприятия)</t>
        </is>
      </c>
      <c r="D49" s="55" t="inlineStr">
        <is>
          <t>%</t>
        </is>
      </c>
      <c r="E49" s="687" t="n"/>
      <c r="F49" s="192">
        <f>IF('Чек-лист'!H20&lt;'Экономический эффект'!F51,IF('Чек-лист'!G23="нет",'Чек-лист'!H20,0),'Экономический эффект'!F51)</f>
        <v/>
      </c>
      <c r="G49" s="691" t="n"/>
      <c r="I49" s="406" t="inlineStr">
        <is>
          <t>ФОТ</t>
        </is>
      </c>
      <c r="J49" s="694">
        <f>(E58-F58)*(1+F49)</f>
        <v/>
      </c>
    </row>
    <row r="50" hidden="1" ht="16" customHeight="1">
      <c r="B50" s="194" t="n"/>
      <c r="C50" s="296" t="inlineStr">
        <is>
          <t>Время цикла узкого места оптимизируемого потока</t>
        </is>
      </c>
      <c r="D50" s="55" t="inlineStr">
        <is>
          <t>минуты</t>
        </is>
      </c>
      <c r="E50" s="687">
        <f>IFERROR('Чек-лист'!G54,0)</f>
        <v/>
      </c>
      <c r="F50" s="687">
        <f>IFERROR('Чек-лист'!H54,0)</f>
        <v/>
      </c>
      <c r="G50" s="691" t="n"/>
      <c r="I50" s="406" t="inlineStr">
        <is>
          <t>ТЭР</t>
        </is>
      </c>
      <c r="J50" s="694">
        <f>(E64-F64)*(1+F49)</f>
        <v/>
      </c>
    </row>
    <row r="51" hidden="1" ht="16" customHeight="1">
      <c r="B51" s="194" t="n"/>
      <c r="C51" s="297" t="inlineStr">
        <is>
          <t>Процент роста возможностей производства полуфабрикатов</t>
        </is>
      </c>
      <c r="D51" s="55" t="inlineStr">
        <is>
          <t>%</t>
        </is>
      </c>
      <c r="E51" s="687" t="n"/>
      <c r="F51" s="192">
        <f>IFERROR(E50/F50-1,0)</f>
        <v/>
      </c>
      <c r="G51" s="691" t="n"/>
    </row>
    <row r="52" hidden="1" ht="32" customHeight="1">
      <c r="B52" s="194" t="n"/>
      <c r="C52" s="296" t="inlineStr">
        <is>
          <t>Расчетные переменные расходы на весь объем полуфабрикатов (для определения дельты)</t>
        </is>
      </c>
      <c r="D52" s="55" t="inlineStr">
        <is>
          <t>руб.</t>
        </is>
      </c>
      <c r="E52" s="702">
        <f>IFERROR(E54+E58+E64,0)</f>
        <v/>
      </c>
      <c r="F52" s="702">
        <f>IFERROR(F54+F58+F64,0)</f>
        <v/>
      </c>
      <c r="G52" s="693">
        <f>-F52+E52</f>
        <v/>
      </c>
      <c r="J52" s="694" t="n"/>
    </row>
    <row r="53" hidden="1" ht="16" customHeight="1">
      <c r="B53" s="194" t="n"/>
      <c r="C53" s="297" t="inlineStr">
        <is>
          <t>Изменение удельных переменных затрат на ПФ</t>
        </is>
      </c>
      <c r="D53" s="274" t="inlineStr">
        <is>
          <t>%</t>
        </is>
      </c>
      <c r="E53" s="687" t="n"/>
      <c r="F53" s="192">
        <f>IFERROR(F52/E52-1,0)</f>
        <v/>
      </c>
      <c r="G53" s="693" t="n"/>
      <c r="I53" s="694" t="n"/>
      <c r="K53" s="210" t="n"/>
    </row>
    <row r="54" hidden="1" ht="16.5" customHeight="1">
      <c r="B54" s="194" t="n"/>
      <c r="C54" s="296" t="inlineStr">
        <is>
          <t>Сырье и материалы на полуфабикаты для всех заказов</t>
        </is>
      </c>
      <c r="D54" s="216" t="inlineStr">
        <is>
          <t>руб.</t>
        </is>
      </c>
      <c r="E54" s="687">
        <f>IF(E57=0,E55,E57)</f>
        <v/>
      </c>
      <c r="F54" s="687">
        <f>IF(F57=0,F55,F57)</f>
        <v/>
      </c>
      <c r="G54" s="693">
        <f>-F54+-E54</f>
        <v/>
      </c>
    </row>
    <row r="55" hidden="1" ht="16.5" customFormat="1" customHeight="1" s="61">
      <c r="B55" s="195" t="n"/>
      <c r="C55" s="297" t="inlineStr">
        <is>
          <t>Сырье и материалы на полуфабикаты для текущего заказа</t>
        </is>
      </c>
      <c r="D55" s="215" t="inlineStr">
        <is>
          <t>руб./ед.пф</t>
        </is>
      </c>
      <c r="E55" s="698">
        <f>IFERROR('Чек-лист'!G59,0)</f>
        <v/>
      </c>
      <c r="F55" s="698">
        <f>IFERROR('Чек-лист'!H59,0)</f>
        <v/>
      </c>
      <c r="G55" s="699" t="n"/>
      <c r="I55" s="449" t="n"/>
      <c r="J55" s="449" t="n"/>
    </row>
    <row r="56" hidden="1" ht="16.5" customFormat="1" customHeight="1" s="61">
      <c r="B56" s="195" t="n"/>
      <c r="C56" s="298" t="inlineStr">
        <is>
          <t>Изменение затрат на сырье на ед. полуфабриката</t>
        </is>
      </c>
      <c r="D56" s="215" t="inlineStr">
        <is>
          <t>%</t>
        </is>
      </c>
      <c r="E56" s="703" t="n"/>
      <c r="F56" s="192">
        <f>IFERROR(F55/E55-1,0)</f>
        <v/>
      </c>
      <c r="G56" s="699" t="n"/>
      <c r="I56" s="449" t="n"/>
      <c r="J56" s="449" t="n"/>
    </row>
    <row r="57" hidden="1" ht="16.5" customFormat="1" customHeight="1" s="61">
      <c r="B57" s="195" t="n"/>
      <c r="C57" s="298" t="inlineStr">
        <is>
          <t>Затраты на сырье на все заказы в рублях за год</t>
        </is>
      </c>
      <c r="D57" s="215" t="inlineStr">
        <is>
          <t>руб.</t>
        </is>
      </c>
      <c r="E57" s="703">
        <f>IFERROR('Чек-лист'!G61,0)</f>
        <v/>
      </c>
      <c r="F57" s="698">
        <f>IFERROR(E57*(1+F56),0)</f>
        <v/>
      </c>
      <c r="G57" s="699" t="n"/>
      <c r="I57" s="449" t="n"/>
      <c r="J57" s="449" t="n"/>
    </row>
    <row r="58" hidden="1" ht="16.5" customFormat="1" customHeight="1" s="61">
      <c r="B58" s="195" t="n"/>
      <c r="C58" s="296" t="inlineStr">
        <is>
          <t>ФОТ и социальные отчисления на полуфабикаты для всех заказов</t>
        </is>
      </c>
      <c r="D58" s="216" t="inlineStr">
        <is>
          <t>руб.</t>
        </is>
      </c>
      <c r="E58" s="690">
        <f>IFERROR('Чек-лист'!G57,0)</f>
        <v/>
      </c>
      <c r="F58" s="687">
        <f>IFERROR(E58*(1+F63),0)</f>
        <v/>
      </c>
      <c r="G58" s="699" t="n"/>
      <c r="I58" s="449" t="n"/>
      <c r="J58" s="449" t="n"/>
      <c r="K58" s="220" t="n"/>
    </row>
    <row r="59" hidden="1" ht="16.5" customHeight="1">
      <c r="B59" s="194" t="n"/>
      <c r="C59" s="297" t="inlineStr">
        <is>
          <t>ФОТ и социальные отчисления на полуфабикаты для текущего заказа</t>
        </is>
      </c>
      <c r="D59" s="215" t="inlineStr">
        <is>
          <t>руб./ед.пф</t>
        </is>
      </c>
      <c r="E59" s="698">
        <f>(E60*E61*E62)</f>
        <v/>
      </c>
      <c r="F59" s="698">
        <f>(F60*F61*F62)</f>
        <v/>
      </c>
      <c r="G59" s="693">
        <f>-F59+E59</f>
        <v/>
      </c>
    </row>
    <row r="60" hidden="1" ht="16.5" customFormat="1" customHeight="1" s="61">
      <c r="B60" s="195" t="n"/>
      <c r="C60" s="298" t="inlineStr">
        <is>
          <t>Трудоемкость</t>
        </is>
      </c>
      <c r="D60" s="215" t="inlineStr">
        <is>
          <t>нормо-час/ед.пф</t>
        </is>
      </c>
      <c r="E60" s="698">
        <f>IFERROR('Чек-лист'!G55,0)</f>
        <v/>
      </c>
      <c r="F60" s="698">
        <f>IFERROR('Чек-лист'!H55,0)</f>
        <v/>
      </c>
      <c r="G60" s="699" t="n"/>
      <c r="I60" s="450" t="n"/>
      <c r="J60" s="449" t="n"/>
    </row>
    <row r="61" hidden="1" ht="16.5" customFormat="1" customHeight="1" s="61">
      <c r="B61" s="195" t="n"/>
      <c r="C61" s="298" t="inlineStr">
        <is>
          <t>Ставка оплаты</t>
        </is>
      </c>
      <c r="D61" s="215" t="inlineStr">
        <is>
          <t>руб./нормо-час</t>
        </is>
      </c>
      <c r="E61" s="698">
        <f>IFERROR('Чек-лист'!G56,0)</f>
        <v/>
      </c>
      <c r="F61" s="698">
        <f>IFERROR(IF('Чек-лист'!H56="",'Экономический эффект'!E61,'Чек-лист'!H56),0)</f>
        <v/>
      </c>
      <c r="G61" s="699" t="n"/>
      <c r="I61" s="449" t="n"/>
      <c r="J61" s="449" t="n"/>
    </row>
    <row r="62" hidden="1" ht="16.5" customFormat="1" customHeight="1" s="61">
      <c r="B62" s="195" t="n"/>
      <c r="C62" s="298" t="inlineStr">
        <is>
          <t>Социальные отчисления</t>
        </is>
      </c>
      <c r="D62" s="215" t="inlineStr">
        <is>
          <t>%</t>
        </is>
      </c>
      <c r="E62" s="173" t="n">
        <v>1.3</v>
      </c>
      <c r="F62" s="173" t="n">
        <v>1.3</v>
      </c>
      <c r="G62" s="699" t="n"/>
      <c r="I62" s="449" t="n"/>
      <c r="J62" s="449" t="n"/>
    </row>
    <row r="63" hidden="1" ht="16.5" customFormat="1" customHeight="1" s="61">
      <c r="B63" s="195" t="n"/>
      <c r="C63" s="298" t="inlineStr">
        <is>
          <t>Изменение удельных переменных затрат на оплату труда</t>
        </is>
      </c>
      <c r="D63" s="215" t="inlineStr">
        <is>
          <t>%</t>
        </is>
      </c>
      <c r="E63" s="173" t="n"/>
      <c r="F63" s="192">
        <f>IFERROR(F59/E59-1,0)</f>
        <v/>
      </c>
      <c r="G63" s="699" t="n"/>
      <c r="I63" s="449" t="n"/>
      <c r="J63" s="449" t="n"/>
    </row>
    <row r="64" hidden="1" ht="16.5" customFormat="1" customHeight="1" s="61">
      <c r="B64" s="195" t="n"/>
      <c r="C64" s="296" t="inlineStr">
        <is>
          <t>Энергоресурсы на полуфабикаты для всех заказов</t>
        </is>
      </c>
      <c r="D64" s="216" t="inlineStr">
        <is>
          <t>руб.</t>
        </is>
      </c>
      <c r="E64" s="687">
        <f>IFERROR(IF(E67=0,E65,E67),0)</f>
        <v/>
      </c>
      <c r="F64" s="687">
        <f>IF(F67=0,F65,F67)</f>
        <v/>
      </c>
      <c r="G64" s="699" t="n"/>
      <c r="I64" s="449" t="n"/>
      <c r="J64" s="449" t="n"/>
    </row>
    <row r="65" hidden="1" ht="16.5" customHeight="1">
      <c r="B65" s="194" t="n"/>
      <c r="C65" s="297" t="inlineStr">
        <is>
          <t>Энергоресурсы на полуфабикаты для текущего заказа</t>
        </is>
      </c>
      <c r="D65" s="215" t="inlineStr">
        <is>
          <t>руб./ед.пф</t>
        </is>
      </c>
      <c r="E65" s="698">
        <f>IFERROR('Чек-лист'!G63,0)</f>
        <v/>
      </c>
      <c r="F65" s="698">
        <f>IFERROR('Чек-лист'!H63,0)</f>
        <v/>
      </c>
      <c r="G65" s="693">
        <f>-F65+E65</f>
        <v/>
      </c>
    </row>
    <row r="66" hidden="1" ht="16.5" customFormat="1" customHeight="1" s="61">
      <c r="B66" s="195" t="n"/>
      <c r="C66" s="298" t="inlineStr">
        <is>
          <t>Изменение затрат на энергоресурсы на ед. полуфабриката</t>
        </is>
      </c>
      <c r="D66" s="215" t="inlineStr">
        <is>
          <t>%</t>
        </is>
      </c>
      <c r="E66" s="698" t="n"/>
      <c r="F66" s="192">
        <f>IFERROR(F65/E65-1,0)</f>
        <v/>
      </c>
      <c r="G66" s="700" t="n"/>
      <c r="I66" s="449" t="n"/>
      <c r="J66" s="449" t="n"/>
    </row>
    <row r="67" hidden="1" customFormat="1" s="56">
      <c r="B67" s="195" t="n"/>
      <c r="C67" s="298" t="inlineStr">
        <is>
          <t>Затраты на энергоресурсы на все заказы в рублях за год</t>
        </is>
      </c>
      <c r="D67" s="215" t="inlineStr">
        <is>
          <t>руб.</t>
        </is>
      </c>
      <c r="E67" s="703">
        <f>IFERROR('Чек-лист'!G65,0)</f>
        <v/>
      </c>
      <c r="F67" s="698">
        <f>IFERROR(E67*(1+F66),0)</f>
        <v/>
      </c>
      <c r="G67" s="700" t="n"/>
      <c r="I67" s="447" t="n"/>
      <c r="J67" s="447" t="n"/>
    </row>
    <row r="68" hidden="1" ht="32" customHeight="1">
      <c r="B68" s="194" t="n"/>
      <c r="C68" s="297" t="inlineStr">
        <is>
          <t>Суммарные переменные затраты на производство полуфабрикатов для всех заказов за год (для расчета брака)</t>
        </is>
      </c>
      <c r="D68" s="215" t="inlineStr">
        <is>
          <t>руб.</t>
        </is>
      </c>
      <c r="E68" s="697">
        <f>IFERROR('Чек-лист'!G171,0)</f>
        <v/>
      </c>
      <c r="F68" s="697">
        <f>IFERROR(E68*(1+F53)*(1+F49),0)</f>
        <v/>
      </c>
      <c r="G68" s="691" t="n"/>
    </row>
    <row r="69" ht="16.5" customFormat="1" customHeight="1" s="59">
      <c r="B69" s="198" t="n"/>
      <c r="C69" s="294" t="inlineStr">
        <is>
          <t>МАРЖИНАЛЬНАЯ ПРИБЫЛЬ (серия, конечный передел)</t>
        </is>
      </c>
      <c r="D69" s="275" t="inlineStr">
        <is>
          <t>руб.</t>
        </is>
      </c>
      <c r="E69" s="688">
        <f>E71-E79*E72</f>
        <v/>
      </c>
      <c r="F69" s="688">
        <f>F71-F79*F72</f>
        <v/>
      </c>
      <c r="G69" s="681">
        <f>F69-E69</f>
        <v/>
      </c>
      <c r="I69" s="446" t="n"/>
      <c r="J69" s="446" t="n"/>
    </row>
    <row r="70" ht="16.5" customFormat="1" customHeight="1" s="59">
      <c r="B70" s="202" t="n"/>
      <c r="C70" s="295" t="inlineStr">
        <is>
          <t>Потенциальный эффект от увеличения производственных мощностей</t>
        </is>
      </c>
      <c r="D70" s="276" t="inlineStr">
        <is>
          <t>руб.</t>
        </is>
      </c>
      <c r="E70" s="683" t="n"/>
      <c r="F70" s="683" t="n"/>
      <c r="G70" s="684">
        <f>IF(E72&lt;E73,IF(F75&lt;E73,(F73-E73)*(F77-F79),(F73-F75)*(F77-F79)),(F73-F75)*(F77-F79))</f>
        <v/>
      </c>
      <c r="H70" s="682" t="n"/>
      <c r="I70" s="446" t="n"/>
      <c r="J70" s="446" t="n"/>
    </row>
    <row r="71" ht="16.5" customFormat="1" customHeight="1" s="56">
      <c r="B71" s="193" t="n"/>
      <c r="C71" s="296" t="inlineStr">
        <is>
          <t>Выручка</t>
        </is>
      </c>
      <c r="D71" s="55" t="inlineStr">
        <is>
          <t>руб.</t>
        </is>
      </c>
      <c r="E71" s="690">
        <f>IFERROR(E72*E77,0)</f>
        <v/>
      </c>
      <c r="F71" s="690">
        <f>IFERROR(F72*F77,0)</f>
        <v/>
      </c>
      <c r="G71" s="704">
        <f>F71-E71</f>
        <v/>
      </c>
      <c r="I71" s="447" t="n"/>
      <c r="J71" s="447" t="n"/>
    </row>
    <row r="72" ht="16.5" customHeight="1">
      <c r="B72" s="194" t="inlineStr">
        <is>
          <t>МП1.1</t>
        </is>
      </c>
      <c r="C72" s="297" t="inlineStr">
        <is>
          <t>Объем реализации для расчета ЭЭ</t>
        </is>
      </c>
      <c r="D72" s="54" t="inlineStr">
        <is>
          <t>ед.прод.</t>
        </is>
      </c>
      <c r="E72" s="705">
        <f>IFERROR(IF('Чек-лист'!D82=0,'Чек-лист'!G84,'Чек-лист'!D82),0)</f>
        <v/>
      </c>
      <c r="F72" s="705">
        <f>IF(E72&lt;E73,IF(F75&lt;E73,E72,E72+(F75-E73)),F75)</f>
        <v/>
      </c>
      <c r="G72" s="704" t="n"/>
      <c r="I72" s="406" t="inlineStr">
        <is>
          <t>Объемы</t>
        </is>
      </c>
      <c r="J72" s="406">
        <f>(F72-E72)*(E77-E79)</f>
        <v/>
      </c>
    </row>
    <row r="73" ht="16.5" customFormat="1" customHeight="1" s="61">
      <c r="B73" s="195" t="inlineStr">
        <is>
          <t>МП1.1.1</t>
        </is>
      </c>
      <c r="C73" s="298" t="inlineStr">
        <is>
          <t>Объем производства</t>
        </is>
      </c>
      <c r="D73" s="60" t="inlineStr">
        <is>
          <t>ед.прод.</t>
        </is>
      </c>
      <c r="E73" s="705">
        <f>IFERROR(IF('Чек-лист'!D83=0,'Чек-лист'!G85,'Чек-лист'!D83),0)</f>
        <v/>
      </c>
      <c r="F73" s="705">
        <f>IFERROR(IF('Чек-лист'!E83=0,'Чек-лист'!G85,'Чек-лист'!E83),0)</f>
        <v/>
      </c>
      <c r="G73" s="706" t="n"/>
      <c r="H73" s="707" t="n"/>
      <c r="I73" s="406" t="inlineStr">
        <is>
          <t>Нормы</t>
        </is>
      </c>
      <c r="J73" s="406">
        <f>((F77-F79)-(E77-E79))*F72-J74</f>
        <v/>
      </c>
      <c r="K73" s="52" t="n"/>
      <c r="L73" s="52" t="n"/>
    </row>
    <row r="74" ht="16.5" customFormat="1" customHeight="1" s="61">
      <c r="B74" s="195" t="inlineStr">
        <is>
          <t>МП1.1.2</t>
        </is>
      </c>
      <c r="C74" s="298" t="inlineStr">
        <is>
          <t>Изменение остатка готовой продукции</t>
        </is>
      </c>
      <c r="D74" s="60" t="inlineStr">
        <is>
          <t>ед.прод.</t>
        </is>
      </c>
      <c r="E74" s="703">
        <f>E73-E72</f>
        <v/>
      </c>
      <c r="F74" s="703">
        <f>F73-F72</f>
        <v/>
      </c>
      <c r="G74" s="706" t="n"/>
      <c r="I74" s="406" t="inlineStr">
        <is>
          <t>Цена ГП</t>
        </is>
      </c>
      <c r="J74" s="406">
        <f>(F77-E77)*F72</f>
        <v/>
      </c>
      <c r="K74" s="52" t="n"/>
      <c r="L74" s="52" t="n"/>
    </row>
    <row r="75" ht="16.5" customFormat="1" customHeight="1" s="61">
      <c r="B75" s="195" t="n"/>
      <c r="C75" s="298" t="inlineStr">
        <is>
          <t>Объем реализации полный</t>
        </is>
      </c>
      <c r="D75" s="60" t="inlineStr">
        <is>
          <t>ед.прод.</t>
        </is>
      </c>
      <c r="E75" s="703">
        <f>E72</f>
        <v/>
      </c>
      <c r="F75" s="703">
        <f>IFERROR(IF('Чек-лист'!E82=0,'Чек-лист'!G84,'Чек-лист'!E82),0)</f>
        <v/>
      </c>
      <c r="G75" s="706" t="n"/>
      <c r="I75" s="406" t="inlineStr">
        <is>
          <t>СиМ</t>
        </is>
      </c>
      <c r="J75" s="406">
        <f>(E80-F80)*F75</f>
        <v/>
      </c>
    </row>
    <row r="76" ht="16.5" customFormat="1" customHeight="1" s="61">
      <c r="B76" s="195" t="n"/>
      <c r="C76" s="298" t="inlineStr">
        <is>
          <t>Объем продукции для расчета потенциального эффекта</t>
        </is>
      </c>
      <c r="D76" s="60" t="inlineStr">
        <is>
          <t>ед.прод.</t>
        </is>
      </c>
      <c r="E76" s="703" t="n">
        <v>0</v>
      </c>
      <c r="F76" s="703">
        <f>IF(E72&lt;E73,IF(F75&lt;E73,(F73-E73),(F73-F75)),(F73-F75))</f>
        <v/>
      </c>
      <c r="G76" s="706" t="n"/>
      <c r="I76" s="406" t="inlineStr">
        <is>
          <t>ФОТ</t>
        </is>
      </c>
      <c r="J76" s="406">
        <f>(E83-F83)*F75</f>
        <v/>
      </c>
    </row>
    <row r="77" ht="16.5" customHeight="1">
      <c r="B77" s="194" t="inlineStr">
        <is>
          <t>МП1.2</t>
        </is>
      </c>
      <c r="C77" s="297" t="inlineStr">
        <is>
          <t>Цена реализации</t>
        </is>
      </c>
      <c r="D77" s="54" t="inlineStr">
        <is>
          <t>руб.</t>
        </is>
      </c>
      <c r="E77" s="697">
        <f>'Чек-лист'!G87</f>
        <v/>
      </c>
      <c r="F77" s="697">
        <f>IF('Чек-лист'!G70="да",'Чек-лист'!H87,E77)</f>
        <v/>
      </c>
      <c r="G77" s="704" t="n"/>
      <c r="I77" s="406" t="inlineStr">
        <is>
          <t>ТЭР</t>
        </is>
      </c>
      <c r="J77" s="406">
        <f>(E87-F87)*F72</f>
        <v/>
      </c>
    </row>
    <row r="78" ht="16.5" customHeight="1">
      <c r="B78" s="194" t="n"/>
      <c r="C78" s="296" t="inlineStr">
        <is>
          <t>Переменные расходы на весь объем реализации</t>
        </is>
      </c>
      <c r="D78" s="55" t="inlineStr">
        <is>
          <t>руб.</t>
        </is>
      </c>
      <c r="E78" s="687">
        <f>E79*E72</f>
        <v/>
      </c>
      <c r="F78" s="687">
        <f>F79*F72</f>
        <v/>
      </c>
      <c r="G78" s="704" t="n"/>
      <c r="J78" s="694" t="n"/>
    </row>
    <row r="79" ht="16.5" customFormat="1" customHeight="1" s="56">
      <c r="B79" s="193" t="inlineStr">
        <is>
          <t>МП2.0</t>
        </is>
      </c>
      <c r="C79" s="296" t="inlineStr">
        <is>
          <t>Переменные расходы</t>
        </is>
      </c>
      <c r="D79" s="57" t="inlineStr">
        <is>
          <t>руб./ед.прод.</t>
        </is>
      </c>
      <c r="E79" s="687">
        <f>'Чек-лист'!G88</f>
        <v/>
      </c>
      <c r="F79" s="687">
        <f>E79+G80+G83+G87</f>
        <v/>
      </c>
      <c r="G79" s="708">
        <f>-F79+E79</f>
        <v/>
      </c>
      <c r="H79" s="695" t="n"/>
      <c r="I79" s="447" t="n"/>
      <c r="J79" s="447" t="n"/>
    </row>
    <row r="80" ht="16.5" customHeight="1">
      <c r="B80" s="194" t="inlineStr">
        <is>
          <t>МП2.1</t>
        </is>
      </c>
      <c r="C80" s="297" t="inlineStr">
        <is>
          <t>Сырье и материалы</t>
        </is>
      </c>
      <c r="D80" s="54" t="inlineStr">
        <is>
          <t>руб./ед.прод.</t>
        </is>
      </c>
      <c r="E80" s="697">
        <f>(E81*E82)</f>
        <v/>
      </c>
      <c r="F80" s="697">
        <f>(F81*F82)</f>
        <v/>
      </c>
      <c r="G80" s="709">
        <f>F80-E80</f>
        <v/>
      </c>
      <c r="H80" s="682" t="n"/>
    </row>
    <row r="81" ht="16.5" customFormat="1" customHeight="1" s="61">
      <c r="B81" s="195" t="inlineStr">
        <is>
          <t>МП2.1.1</t>
        </is>
      </c>
      <c r="C81" s="298" t="inlineStr">
        <is>
          <t>Норма потребления</t>
        </is>
      </c>
      <c r="D81" s="60" t="inlineStr">
        <is>
          <t>ед.сырья/ед.прод.</t>
        </is>
      </c>
      <c r="E81" s="698">
        <f>IFERROR('Чек-лист'!G91,0)</f>
        <v/>
      </c>
      <c r="F81" s="698">
        <f>IFERROR('Чек-лист'!H91,0)</f>
        <v/>
      </c>
      <c r="G81" s="710" t="n"/>
      <c r="I81" s="449" t="n"/>
      <c r="J81" s="449" t="n"/>
    </row>
    <row r="82" ht="16.5" customFormat="1" customHeight="1" s="61">
      <c r="B82" s="195" t="inlineStr">
        <is>
          <t>МП2.1.2</t>
        </is>
      </c>
      <c r="C82" s="298" t="inlineStr">
        <is>
          <t>Цена</t>
        </is>
      </c>
      <c r="D82" s="60" t="inlineStr">
        <is>
          <t>руб./ед.сырья</t>
        </is>
      </c>
      <c r="E82" s="698">
        <f>IFERROR('Чек-лист'!G92,0)</f>
        <v/>
      </c>
      <c r="F82" s="698">
        <f>IFERROR(IF('Чек-лист'!H92="",E82,'Чек-лист'!H92),0)</f>
        <v/>
      </c>
      <c r="G82" s="710" t="n"/>
      <c r="I82" s="449" t="n"/>
      <c r="J82" s="449" t="n"/>
    </row>
    <row r="83" ht="16.5" customHeight="1">
      <c r="B83" s="194" t="inlineStr">
        <is>
          <t>МП2.2</t>
        </is>
      </c>
      <c r="C83" s="297" t="inlineStr">
        <is>
          <t>ФОТ и социальные отчисления</t>
        </is>
      </c>
      <c r="D83" s="54" t="inlineStr">
        <is>
          <t>руб./ед.прод.</t>
        </is>
      </c>
      <c r="E83" s="697">
        <f>(E84*E85*E86)</f>
        <v/>
      </c>
      <c r="F83" s="697">
        <f>(F84*F85*F86)</f>
        <v/>
      </c>
      <c r="G83" s="709">
        <f>F83-E83</f>
        <v/>
      </c>
      <c r="H83" s="682" t="n"/>
    </row>
    <row r="84" ht="16.5" customFormat="1" customHeight="1" s="61">
      <c r="B84" s="195" t="inlineStr">
        <is>
          <t>МП2.2.1</t>
        </is>
      </c>
      <c r="C84" s="298" t="inlineStr">
        <is>
          <t>Трудоемкость</t>
        </is>
      </c>
      <c r="D84" s="60" t="inlineStr">
        <is>
          <t>нормо-час/ед.прод.</t>
        </is>
      </c>
      <c r="E84" s="698">
        <f>IFERROR('Чек-лист'!G109,0)</f>
        <v/>
      </c>
      <c r="F84" s="698">
        <f>IFERROR('Чек-лист'!H109,0)</f>
        <v/>
      </c>
      <c r="G84" s="710" t="n"/>
      <c r="I84" s="450" t="n"/>
      <c r="J84" s="449" t="n"/>
    </row>
    <row r="85" ht="16.5" customFormat="1" customHeight="1" s="61">
      <c r="B85" s="195" t="inlineStr">
        <is>
          <t>МП2.2.2</t>
        </is>
      </c>
      <c r="C85" s="298" t="inlineStr">
        <is>
          <t>Ставка оплаты</t>
        </is>
      </c>
      <c r="D85" s="60" t="inlineStr">
        <is>
          <t>руб./нормо-час</t>
        </is>
      </c>
      <c r="E85" s="698">
        <f>IFERROR('Чек-лист'!G110,0)</f>
        <v/>
      </c>
      <c r="F85" s="698">
        <f>IFERROR(IF('Чек-лист'!H110="",E85,'Чек-лист'!H110),0)</f>
        <v/>
      </c>
      <c r="G85" s="710" t="n"/>
      <c r="I85" s="449" t="n"/>
      <c r="J85" s="449" t="n"/>
    </row>
    <row r="86" ht="16.5" customFormat="1" customHeight="1" s="61">
      <c r="B86" s="195" t="inlineStr">
        <is>
          <t>МП2.2.3</t>
        </is>
      </c>
      <c r="C86" s="298" t="inlineStr">
        <is>
          <t>Социальные отчисления</t>
        </is>
      </c>
      <c r="D86" s="60" t="inlineStr">
        <is>
          <t>%</t>
        </is>
      </c>
      <c r="E86" s="173" t="n">
        <v>1.3</v>
      </c>
      <c r="F86" s="173" t="n">
        <v>1.3</v>
      </c>
      <c r="G86" s="710" t="n"/>
      <c r="I86" s="449" t="n"/>
      <c r="J86" s="449" t="n"/>
    </row>
    <row r="87" ht="16.5" customHeight="1">
      <c r="B87" s="194" t="inlineStr">
        <is>
          <t>МП2.3</t>
        </is>
      </c>
      <c r="C87" s="297" t="inlineStr">
        <is>
          <t>Энергетика</t>
        </is>
      </c>
      <c r="D87" s="54" t="inlineStr">
        <is>
          <t>руб./ед.прод.</t>
        </is>
      </c>
      <c r="E87" s="697">
        <f>E88+E91+E94+E97</f>
        <v/>
      </c>
      <c r="F87" s="697">
        <f>F88+F91+F94+F97</f>
        <v/>
      </c>
      <c r="G87" s="709">
        <f>F87-E87</f>
        <v/>
      </c>
      <c r="H87" s="682" t="n"/>
    </row>
    <row r="88" ht="16.5" customHeight="1">
      <c r="B88" s="194" t="inlineStr">
        <is>
          <t>МП2.3.1</t>
        </is>
      </c>
      <c r="C88" s="297" t="inlineStr">
        <is>
          <t>Электроэнергия</t>
        </is>
      </c>
      <c r="D88" s="54" t="inlineStr">
        <is>
          <t>руб./ед.прод.</t>
        </is>
      </c>
      <c r="E88" s="697">
        <f>(E89*E90)</f>
        <v/>
      </c>
      <c r="F88" s="697">
        <f>(F89*F90)</f>
        <v/>
      </c>
      <c r="G88" s="709">
        <f>F88-E88</f>
        <v/>
      </c>
    </row>
    <row r="89" ht="16.5" customFormat="1" customHeight="1" s="61">
      <c r="B89" s="194" t="inlineStr">
        <is>
          <t>МП2.3.1.1</t>
        </is>
      </c>
      <c r="C89" s="298" t="inlineStr">
        <is>
          <t>Потребление электроэнергии</t>
        </is>
      </c>
      <c r="D89" s="60" t="inlineStr">
        <is>
          <t>кВтч/ед.прод.</t>
        </is>
      </c>
      <c r="E89" s="698">
        <f>IFERROR('Чек-лист'!G95,0)</f>
        <v/>
      </c>
      <c r="F89" s="698">
        <f>IFERROR('Чек-лист'!H95,0)</f>
        <v/>
      </c>
      <c r="G89" s="710" t="n"/>
      <c r="I89" s="449" t="n"/>
      <c r="J89" s="449" t="n"/>
    </row>
    <row r="90" ht="16.5" customFormat="1" customHeight="1" s="56">
      <c r="B90" s="194" t="inlineStr">
        <is>
          <t>МП2.3.1.2</t>
        </is>
      </c>
      <c r="C90" s="298" t="inlineStr">
        <is>
          <t>Цена электроэнергии</t>
        </is>
      </c>
      <c r="D90" s="60" t="inlineStr">
        <is>
          <t>Руб/кВтч</t>
        </is>
      </c>
      <c r="E90" s="698">
        <f>IFERROR('Чек-лист'!G96,0)</f>
        <v/>
      </c>
      <c r="F90" s="698">
        <f>E90</f>
        <v/>
      </c>
      <c r="G90" s="710" t="n"/>
      <c r="I90" s="447" t="n"/>
      <c r="J90" s="447" t="n"/>
    </row>
    <row r="91" ht="16.5" customHeight="1">
      <c r="B91" s="194" t="inlineStr">
        <is>
          <t>МП2.3.2</t>
        </is>
      </c>
      <c r="C91" s="297" t="inlineStr">
        <is>
          <t>Вода</t>
        </is>
      </c>
      <c r="D91" s="54" t="inlineStr">
        <is>
          <t>руб./ед.прод.</t>
        </is>
      </c>
      <c r="E91" s="697">
        <f>(E92*E93)</f>
        <v/>
      </c>
      <c r="F91" s="697">
        <f>(F92*F93)</f>
        <v/>
      </c>
      <c r="G91" s="709">
        <f>F91-E91</f>
        <v/>
      </c>
    </row>
    <row r="92" ht="16.5" customFormat="1" customHeight="1" s="61">
      <c r="B92" s="194" t="inlineStr">
        <is>
          <t>МП2.3.2.1</t>
        </is>
      </c>
      <c r="C92" s="298" t="inlineStr">
        <is>
          <t>Норма потребления</t>
        </is>
      </c>
      <c r="D92" s="60" t="inlineStr">
        <is>
          <t>м3/ед.прод.</t>
        </is>
      </c>
      <c r="E92" s="698">
        <f>IFERROR('Чек-лист'!G98,0)</f>
        <v/>
      </c>
      <c r="F92" s="698">
        <f>IFERROR('Чек-лист'!H98,0)</f>
        <v/>
      </c>
      <c r="G92" s="710" t="n"/>
      <c r="I92" s="449" t="n"/>
      <c r="J92" s="449" t="n"/>
    </row>
    <row r="93" ht="16.5" customFormat="1" customHeight="1" s="56">
      <c r="B93" s="194" t="inlineStr">
        <is>
          <t>МП2.3.2.2</t>
        </is>
      </c>
      <c r="C93" s="298" t="inlineStr">
        <is>
          <t>Тариф</t>
        </is>
      </c>
      <c r="D93" s="60" t="inlineStr">
        <is>
          <t>руб./м3</t>
        </is>
      </c>
      <c r="E93" s="698">
        <f>IFERROR('Чек-лист'!G99,0)</f>
        <v/>
      </c>
      <c r="F93" s="698">
        <f>E93</f>
        <v/>
      </c>
      <c r="G93" s="710" t="n"/>
      <c r="I93" s="447" t="n"/>
      <c r="J93" s="447" t="n"/>
    </row>
    <row r="94" ht="16.5" customHeight="1">
      <c r="B94" s="194" t="inlineStr">
        <is>
          <t>МП2.3.3</t>
        </is>
      </c>
      <c r="C94" s="297" t="inlineStr">
        <is>
          <t>Газ</t>
        </is>
      </c>
      <c r="D94" s="54" t="inlineStr">
        <is>
          <t>руб./ед.прод.</t>
        </is>
      </c>
      <c r="E94" s="697">
        <f>(E95*E96)</f>
        <v/>
      </c>
      <c r="F94" s="697">
        <f>(F95*F96)</f>
        <v/>
      </c>
      <c r="G94" s="709">
        <f>-F94+E94</f>
        <v/>
      </c>
    </row>
    <row r="95" ht="16.5" customFormat="1" customHeight="1" s="61">
      <c r="B95" s="194" t="inlineStr">
        <is>
          <t>МП2.3.3.1</t>
        </is>
      </c>
      <c r="C95" s="298" t="inlineStr">
        <is>
          <t>Норма потребления</t>
        </is>
      </c>
      <c r="D95" s="60" t="inlineStr">
        <is>
          <t>м3/ед.прод.</t>
        </is>
      </c>
      <c r="E95" s="698">
        <f>IFERROR('Чек-лист'!G101,0)</f>
        <v/>
      </c>
      <c r="F95" s="698">
        <f>IFERROR('Чек-лист'!H101,0)</f>
        <v/>
      </c>
      <c r="G95" s="710" t="n"/>
      <c r="I95" s="449" t="n"/>
      <c r="J95" s="449" t="n"/>
    </row>
    <row r="96" ht="16.5" customFormat="1" customHeight="1" s="56">
      <c r="B96" s="194" t="inlineStr">
        <is>
          <t>МП2.3.3.2</t>
        </is>
      </c>
      <c r="C96" s="298" t="inlineStr">
        <is>
          <t>Тариф</t>
        </is>
      </c>
      <c r="D96" s="60" t="inlineStr">
        <is>
          <t>руб./м3</t>
        </is>
      </c>
      <c r="E96" s="698">
        <f>IFERROR('Чек-лист'!G102,0)</f>
        <v/>
      </c>
      <c r="F96" s="698">
        <f>E96</f>
        <v/>
      </c>
      <c r="G96" s="710" t="n"/>
      <c r="I96" s="447" t="n"/>
      <c r="J96" s="447" t="n"/>
    </row>
    <row r="97" ht="16.5" customHeight="1">
      <c r="B97" s="194" t="inlineStr">
        <is>
          <t>МП2.3.4</t>
        </is>
      </c>
      <c r="C97" s="297" t="inlineStr">
        <is>
          <t>Теплоэнергия</t>
        </is>
      </c>
      <c r="D97" s="54" t="inlineStr">
        <is>
          <t>руб./ед.прод.</t>
        </is>
      </c>
      <c r="E97" s="697">
        <f>(E98*E99)</f>
        <v/>
      </c>
      <c r="F97" s="697">
        <f>(F98*F99)</f>
        <v/>
      </c>
      <c r="G97" s="709">
        <f>-F97+E97</f>
        <v/>
      </c>
    </row>
    <row r="98" ht="16.5" customFormat="1" customHeight="1" s="61">
      <c r="B98" s="194" t="inlineStr">
        <is>
          <t>МП2.3.4.1</t>
        </is>
      </c>
      <c r="C98" s="298" t="inlineStr">
        <is>
          <t>Норма потребления</t>
        </is>
      </c>
      <c r="D98" s="60" t="inlineStr">
        <is>
          <t>Гкал/ед.прод.</t>
        </is>
      </c>
      <c r="E98" s="698">
        <f>IFERROR('Чек-лист'!G104,0)</f>
        <v/>
      </c>
      <c r="F98" s="698">
        <f>IFERROR('Чек-лист'!H104,0)</f>
        <v/>
      </c>
      <c r="G98" s="710" t="n"/>
      <c r="I98" s="449" t="n"/>
      <c r="J98" s="449" t="n"/>
    </row>
    <row r="99" ht="16.5" customFormat="1" customHeight="1" s="56">
      <c r="B99" s="194" t="inlineStr">
        <is>
          <t>МП2.3.4.2</t>
        </is>
      </c>
      <c r="C99" s="298" t="inlineStr">
        <is>
          <t>Тариф</t>
        </is>
      </c>
      <c r="D99" s="60" t="inlineStr">
        <is>
          <t>руб./Гкал</t>
        </is>
      </c>
      <c r="E99" s="698">
        <f>IFERROR('Чек-лист'!G105,0)</f>
        <v/>
      </c>
      <c r="F99" s="698">
        <f>E99</f>
        <v/>
      </c>
      <c r="G99" s="710" t="n"/>
      <c r="I99" s="447" t="n"/>
      <c r="J99" s="447" t="n"/>
    </row>
    <row r="100" hidden="1" ht="16.5" customFormat="1" customHeight="1" s="59">
      <c r="B100" s="435" t="n"/>
      <c r="C100" s="412" t="inlineStr">
        <is>
          <t>МАРЖИНАЛЬНАЯ ПРИБЫЛЬ (оценка доп.продуктов)</t>
        </is>
      </c>
      <c r="D100" s="413" t="inlineStr">
        <is>
          <t>руб.</t>
        </is>
      </c>
      <c r="E100" s="711">
        <f>E102-E105</f>
        <v/>
      </c>
      <c r="F100" s="711">
        <f>F102-F105</f>
        <v/>
      </c>
      <c r="G100" s="712">
        <f>F100-E100</f>
        <v/>
      </c>
      <c r="I100" s="446" t="n"/>
      <c r="J100" s="446" t="n"/>
    </row>
    <row r="101" hidden="1" ht="16.5" customFormat="1" customHeight="1" s="59">
      <c r="B101" s="436" t="n"/>
      <c r="C101" s="416" t="inlineStr">
        <is>
          <t>Потенциальный эффект от увеличения производственных мощностей</t>
        </is>
      </c>
      <c r="D101" s="417" t="inlineStr">
        <is>
          <t>руб.</t>
        </is>
      </c>
      <c r="E101" s="713" t="n"/>
      <c r="F101" s="713" t="n"/>
      <c r="G101" s="714" t="n"/>
      <c r="H101" s="682" t="n"/>
      <c r="I101" s="679" t="n"/>
      <c r="J101" s="446" t="n"/>
    </row>
    <row r="102" hidden="1" ht="16.5" customFormat="1" customHeight="1" s="56">
      <c r="B102" s="437" t="n"/>
      <c r="C102" s="420" t="inlineStr">
        <is>
          <t>Выручка от доп.продуктов</t>
        </is>
      </c>
      <c r="D102" s="421" t="inlineStr">
        <is>
          <t>руб.</t>
        </is>
      </c>
      <c r="E102" s="715">
        <f>IF(E103=0,0,E103-E71)</f>
        <v/>
      </c>
      <c r="F102" s="715">
        <f>E102*(F104+1)*(1-G107)</f>
        <v/>
      </c>
      <c r="G102" s="716">
        <f>F102-E102</f>
        <v/>
      </c>
      <c r="I102" s="447" t="n"/>
      <c r="J102" s="447" t="n"/>
    </row>
    <row r="103" hidden="1" ht="16.5" customHeight="1">
      <c r="B103" s="438" t="n"/>
      <c r="C103" s="424" t="inlineStr">
        <is>
          <t>Общая выручка</t>
        </is>
      </c>
      <c r="D103" s="425" t="inlineStr">
        <is>
          <t>руб.</t>
        </is>
      </c>
      <c r="E103" s="717">
        <f>IFERROR('Чек-лист'!G114,0)</f>
        <v/>
      </c>
      <c r="F103" s="717" t="n"/>
      <c r="G103" s="718" t="n"/>
    </row>
    <row r="104" hidden="1" ht="16.5" customFormat="1" customHeight="1" s="61">
      <c r="B104" s="439" t="n"/>
      <c r="C104" s="424" t="inlineStr">
        <is>
          <t>Процент роста возможностей реализации</t>
        </is>
      </c>
      <c r="D104" s="425" t="inlineStr">
        <is>
          <t>%</t>
        </is>
      </c>
      <c r="E104" s="719" t="n"/>
      <c r="F104" s="429">
        <f>IFERROR('Чек-лист'!H113,0)</f>
        <v/>
      </c>
      <c r="G104" s="720" t="n"/>
      <c r="I104" s="449" t="n"/>
      <c r="J104" s="449" t="n"/>
    </row>
    <row r="105" hidden="1" ht="16.5" customHeight="1">
      <c r="B105" s="438" t="n"/>
      <c r="C105" s="420" t="inlineStr">
        <is>
          <t>Переменные расходы на доп.продукты на весь объем реализации</t>
        </is>
      </c>
      <c r="D105" s="421" t="inlineStr">
        <is>
          <t>руб.</t>
        </is>
      </c>
      <c r="E105" s="721">
        <f>IF(E106=0,0,E106-E78)</f>
        <v/>
      </c>
      <c r="F105" s="721">
        <f>E105*(1+F104)*(1-G107)</f>
        <v/>
      </c>
      <c r="G105" s="718" t="n"/>
    </row>
    <row r="106" hidden="1" ht="16.5" customFormat="1" customHeight="1" s="56">
      <c r="B106" s="437" t="n"/>
      <c r="C106" s="424" t="inlineStr">
        <is>
          <t>Переменные расходы на весь объем реализации</t>
        </is>
      </c>
      <c r="D106" s="425" t="inlineStr">
        <is>
          <t>руб.</t>
        </is>
      </c>
      <c r="E106" s="721">
        <f>IFERROR('Чек-лист'!G115,0)</f>
        <v/>
      </c>
      <c r="F106" s="721" t="n"/>
      <c r="G106" s="714" t="n"/>
      <c r="H106" s="695" t="n"/>
      <c r="I106" s="447" t="n"/>
      <c r="J106" s="447" t="n"/>
    </row>
    <row r="107" hidden="1" ht="16.5" customHeight="1">
      <c r="B107" s="438" t="n"/>
      <c r="C107" s="420" t="inlineStr">
        <is>
          <t>Вес основного продукта в портфеле</t>
        </is>
      </c>
      <c r="D107" s="432" t="inlineStr">
        <is>
          <t>%</t>
        </is>
      </c>
      <c r="E107" s="433">
        <f>'Чек-лист'!G72</f>
        <v/>
      </c>
      <c r="F107" s="433">
        <f>'Чек-лист'!H72</f>
        <v/>
      </c>
      <c r="G107" s="434">
        <f>F107-E107</f>
        <v/>
      </c>
    </row>
    <row r="108" hidden="1" ht="16.5" customFormat="1" customHeight="1" s="59">
      <c r="B108" s="198" t="n"/>
      <c r="C108" s="294" t="inlineStr">
        <is>
          <t>МАРЖИНАЛЬНАЯ ПРИБЫЛЬ (позаказное производство)</t>
        </is>
      </c>
      <c r="D108" s="58" t="inlineStr">
        <is>
          <t>руб.</t>
        </is>
      </c>
      <c r="E108" s="680">
        <f>IF(E110=0,E118,E110-E116)</f>
        <v/>
      </c>
      <c r="F108" s="680">
        <f>IF(F110=0,F118,F110-F116)</f>
        <v/>
      </c>
      <c r="G108" s="701">
        <f>F108-E108</f>
        <v/>
      </c>
      <c r="I108" s="406" t="n"/>
      <c r="J108" s="446" t="n"/>
    </row>
    <row r="109" hidden="1" ht="16.5" customFormat="1" customHeight="1" s="59">
      <c r="B109" s="202" t="n"/>
      <c r="C109" s="295" t="inlineStr">
        <is>
          <t>Потенциальный эффект от увеличения производственных мощностей</t>
        </is>
      </c>
      <c r="D109" s="184" t="inlineStr">
        <is>
          <t>руб.</t>
        </is>
      </c>
      <c r="E109" s="683" t="n"/>
      <c r="F109" s="683" t="n"/>
      <c r="G109" s="722">
        <f>(E110*(F115)-(F117-F116))</f>
        <v/>
      </c>
      <c r="H109" s="682" t="n"/>
      <c r="I109" s="406" t="n"/>
      <c r="J109" s="446" t="n"/>
    </row>
    <row r="110" hidden="1" ht="16.5" customFormat="1" customHeight="1" s="56">
      <c r="B110" s="193" t="n"/>
      <c r="C110" s="296" t="inlineStr">
        <is>
          <t>Выручка</t>
        </is>
      </c>
      <c r="D110" s="55" t="inlineStr">
        <is>
          <t>руб.</t>
        </is>
      </c>
      <c r="E110" s="685">
        <f>IFERROR('Чек-лист'!G126,0)</f>
        <v/>
      </c>
      <c r="F110" s="685">
        <f>E110*(F114+1)</f>
        <v/>
      </c>
      <c r="G110" s="693">
        <f>F110-E110</f>
        <v/>
      </c>
      <c r="I110" s="406" t="n"/>
      <c r="J110" s="447" t="n"/>
    </row>
    <row r="111" hidden="1" ht="16.5" customHeight="1">
      <c r="B111" s="194" t="n"/>
      <c r="C111" s="298" t="inlineStr">
        <is>
          <t>Годовой фонд рабочего времени</t>
        </is>
      </c>
      <c r="D111" s="60" t="inlineStr">
        <is>
          <t>минуты</t>
        </is>
      </c>
      <c r="E111" s="703">
        <f>IFERROR(IF('Чек-лист'!G122&gt;0,'Чек-лист'!G122,'Чек-лист'!G123*'Чек-лист'!G124*'Чек-лист'!G125*60),0)</f>
        <v/>
      </c>
      <c r="F111" s="703">
        <f>IFERROR(IF('Чек-лист'!H122&gt;0,'Чек-лист'!H122,'Чек-лист'!H123*'Чек-лист'!H124*'Чек-лист'!H125*60),0)</f>
        <v/>
      </c>
      <c r="G111" s="691" t="n"/>
    </row>
    <row r="112" hidden="1" ht="16.5" customFormat="1" customHeight="1" s="61">
      <c r="B112" s="195" t="n"/>
      <c r="C112" s="298" t="inlineStr">
        <is>
          <t>Объем реализации (расчет)</t>
        </is>
      </c>
      <c r="D112" s="60" t="inlineStr">
        <is>
          <t>ед.прод.</t>
        </is>
      </c>
      <c r="E112" s="703">
        <f>IFERROR(IF('Чек-лист'!G120&lt;'Чек-лист'!G119,E111/'Чек-лист'!G119,E111/'Чек-лист'!G120),0)</f>
        <v/>
      </c>
      <c r="F112" s="703">
        <f>IFERROR(IF('Чек-лист'!H120&lt;'Чек-лист'!H119,F111/'Чек-лист'!H119,F111/'Чек-лист'!H120),0)</f>
        <v/>
      </c>
      <c r="G112" s="700" t="n"/>
      <c r="I112" s="406" t="inlineStr">
        <is>
          <t>Объемы</t>
        </is>
      </c>
      <c r="J112" s="723">
        <f>IFERROR((F112-E112)*(E108/E112),0)</f>
        <v/>
      </c>
    </row>
    <row r="113" hidden="1" ht="16.5" customHeight="1">
      <c r="B113" s="194" t="n"/>
      <c r="C113" s="298" t="inlineStr">
        <is>
          <t>Объем производства (расчет)</t>
        </is>
      </c>
      <c r="D113" s="60" t="inlineStr">
        <is>
          <t>ед.прод.</t>
        </is>
      </c>
      <c r="E113" s="703">
        <f>IFERROR(E111/'Чек-лист'!G119,0)</f>
        <v/>
      </c>
      <c r="F113" s="703">
        <f>IFERROR(F111/'Чек-лист'!H119,0)</f>
        <v/>
      </c>
      <c r="G113" s="691" t="n"/>
      <c r="I113" s="406" t="inlineStr">
        <is>
          <t>Нормы</t>
        </is>
      </c>
      <c r="J113" s="723">
        <f>IFERROR((F108/F112-E108/E112)*F112,0)</f>
        <v/>
      </c>
    </row>
    <row r="114" hidden="1" ht="16.5" customFormat="1" customHeight="1" s="61">
      <c r="B114" s="195" t="n"/>
      <c r="C114" s="298" t="inlineStr">
        <is>
          <t>Рост объема реализации - реальный эффект</t>
        </is>
      </c>
      <c r="D114" s="60" t="inlineStr">
        <is>
          <t>%</t>
        </is>
      </c>
      <c r="E114" s="703" t="n"/>
      <c r="F114" s="173">
        <f>IFERROR(F112/E112-1,0)</f>
        <v/>
      </c>
      <c r="G114" s="700" t="n"/>
      <c r="I114" s="406" t="inlineStr">
        <is>
          <t>СиМ</t>
        </is>
      </c>
      <c r="J114" s="694">
        <f>(E120-F120)*(1+F114)</f>
        <v/>
      </c>
    </row>
    <row r="115" hidden="1" ht="16.5" customFormat="1" customHeight="1" s="61">
      <c r="B115" s="195" t="n"/>
      <c r="C115" s="298" t="inlineStr">
        <is>
          <t>Рост объема производства - потенциальный эффект</t>
        </is>
      </c>
      <c r="D115" s="60" t="inlineStr">
        <is>
          <t>%</t>
        </is>
      </c>
      <c r="E115" s="703" t="n"/>
      <c r="F115" s="173">
        <f>IFERROR(F113/E112-1-F114,0)</f>
        <v/>
      </c>
      <c r="G115" s="700" t="n"/>
      <c r="I115" s="406" t="inlineStr">
        <is>
          <t>ФОТ</t>
        </is>
      </c>
      <c r="J115" s="694">
        <f>(E124-F124)*(1+F114)</f>
        <v/>
      </c>
    </row>
    <row r="116" hidden="1" ht="16.5" customFormat="1" customHeight="1" s="61">
      <c r="B116" s="195" t="n"/>
      <c r="C116" s="296" t="inlineStr">
        <is>
          <t>Переменные расходы на весь объем реализации</t>
        </is>
      </c>
      <c r="D116" s="55" t="inlineStr">
        <is>
          <t>руб.</t>
        </is>
      </c>
      <c r="E116" s="687">
        <f>IFERROR('Чек-лист'!G127,0)</f>
        <v/>
      </c>
      <c r="F116" s="687">
        <f>IFERROR((E116-E118)*(1+F114)+E118*(1+F114)*(1+F119),0)</f>
        <v/>
      </c>
      <c r="G116" s="724" t="inlineStr">
        <is>
          <t>реальн.эф-т</t>
        </is>
      </c>
      <c r="I116" s="406" t="inlineStr">
        <is>
          <t>ТЭР</t>
        </is>
      </c>
      <c r="J116" s="694">
        <f>(E130-F130)*(1+F114)</f>
        <v/>
      </c>
    </row>
    <row r="117" hidden="1" ht="16.5" customFormat="1" customHeight="1" s="61">
      <c r="B117" s="195" t="n"/>
      <c r="C117" s="296" t="inlineStr">
        <is>
          <t>Переменные расходы на возможный объем производства</t>
        </is>
      </c>
      <c r="D117" s="55" t="inlineStr">
        <is>
          <t>руб.</t>
        </is>
      </c>
      <c r="E117" s="687">
        <f>E116</f>
        <v/>
      </c>
      <c r="F117" s="687">
        <f>IFERROR((E116-E118)*(1+F115+F114)+E118*(1+F115+F114)*(1+F119),0)</f>
        <v/>
      </c>
      <c r="G117" s="724" t="inlineStr">
        <is>
          <t>потенц.эф-т</t>
        </is>
      </c>
      <c r="I117" s="449" t="n"/>
      <c r="J117" s="449" t="n"/>
    </row>
    <row r="118" hidden="1" ht="16.5" customHeight="1">
      <c r="B118" s="194" t="n"/>
      <c r="C118" s="296" t="inlineStr">
        <is>
          <t>Расчетные переменные расходы на весь объем реализации до проекта</t>
        </is>
      </c>
      <c r="D118" s="55" t="inlineStr">
        <is>
          <t>руб.</t>
        </is>
      </c>
      <c r="E118" s="687">
        <f>IFERROR(E120+E124+E130,0)</f>
        <v/>
      </c>
      <c r="F118" s="687">
        <f>IFERROR(F120+F124+F130,0)</f>
        <v/>
      </c>
      <c r="G118" s="693">
        <f>-F118+E118</f>
        <v/>
      </c>
      <c r="I118" s="694" t="n"/>
      <c r="J118" s="694" t="n"/>
    </row>
    <row r="119" hidden="1" ht="16.5" customHeight="1">
      <c r="B119" s="194" t="n"/>
      <c r="C119" s="297" t="inlineStr">
        <is>
          <t>Изменение удельных переменных</t>
        </is>
      </c>
      <c r="D119" s="55" t="inlineStr">
        <is>
          <t>%</t>
        </is>
      </c>
      <c r="E119" s="687" t="n"/>
      <c r="F119" s="192">
        <f>IFERROR(F118/E118-1,0)</f>
        <v/>
      </c>
      <c r="G119" s="691" t="n"/>
      <c r="I119" s="694" t="n"/>
      <c r="K119" s="210" t="n"/>
    </row>
    <row r="120" hidden="1" ht="16.5" customHeight="1">
      <c r="B120" s="194" t="n"/>
      <c r="C120" s="296" t="inlineStr">
        <is>
          <t>Сырье и материалы на все заказы</t>
        </is>
      </c>
      <c r="D120" s="216" t="inlineStr">
        <is>
          <t>руб.</t>
        </is>
      </c>
      <c r="E120" s="687">
        <f>IF(E123=0,E121,E123)</f>
        <v/>
      </c>
      <c r="F120" s="687">
        <f>IF(F123=0,F121,F123)</f>
        <v/>
      </c>
      <c r="G120" s="693">
        <f>-F120+E120</f>
        <v/>
      </c>
    </row>
    <row r="121" hidden="1" ht="16.5" customFormat="1" customHeight="1" s="61">
      <c r="B121" s="195" t="n"/>
      <c r="C121" s="297" t="inlineStr">
        <is>
          <t>Сырье и материалы для текущего заказа</t>
        </is>
      </c>
      <c r="D121" s="215" t="inlineStr">
        <is>
          <t>руб./заказ</t>
        </is>
      </c>
      <c r="E121" s="698">
        <f>IFERROR('Чек-лист'!G137,0)</f>
        <v/>
      </c>
      <c r="F121" s="698">
        <f>IFERROR('Чек-лист'!H137,0)</f>
        <v/>
      </c>
      <c r="G121" s="699" t="n"/>
      <c r="I121" s="449" t="n"/>
      <c r="J121" s="449" t="n"/>
    </row>
    <row r="122" hidden="1" ht="16.5" customFormat="1" customHeight="1" s="61">
      <c r="B122" s="195" t="n"/>
      <c r="C122" s="298" t="inlineStr">
        <is>
          <t>Изменение затрат на сырье на ед. полуфабриката</t>
        </is>
      </c>
      <c r="D122" s="215" t="inlineStr">
        <is>
          <t>%</t>
        </is>
      </c>
      <c r="E122" s="703" t="n"/>
      <c r="F122" s="192">
        <f>IFERROR(F121/E121-1,0)</f>
        <v/>
      </c>
      <c r="G122" s="699" t="n"/>
      <c r="I122" s="449" t="n"/>
      <c r="J122" s="449" t="n"/>
    </row>
    <row r="123" hidden="1" ht="16.5" customFormat="1" customHeight="1" s="61">
      <c r="B123" s="195" t="n"/>
      <c r="C123" s="298" t="inlineStr">
        <is>
          <t>Затраты на сырье на все заказы в рублях за год</t>
        </is>
      </c>
      <c r="D123" s="215" t="inlineStr">
        <is>
          <t>руб.</t>
        </is>
      </c>
      <c r="E123" s="698">
        <f>IFERROR('Чек-лист'!G139,0)</f>
        <v/>
      </c>
      <c r="F123" s="698">
        <f>IFERROR(E123*(1+F122),0)</f>
        <v/>
      </c>
      <c r="G123" s="699" t="n"/>
      <c r="I123" s="449" t="n"/>
      <c r="J123" s="449" t="n"/>
    </row>
    <row r="124" hidden="1" ht="16.5" customFormat="1" customHeight="1" s="61">
      <c r="B124" s="195" t="n"/>
      <c r="C124" s="296" t="inlineStr">
        <is>
          <t>ФОТ и социальные отчисления на все заказы</t>
        </is>
      </c>
      <c r="D124" s="216" t="inlineStr">
        <is>
          <t>руб.</t>
        </is>
      </c>
      <c r="E124" s="690">
        <f>IFERROR('Чек-лист'!G135,0)</f>
        <v/>
      </c>
      <c r="F124" s="687">
        <f>IFERROR(E124*(1+F129),0)</f>
        <v/>
      </c>
      <c r="G124" s="699" t="n"/>
      <c r="I124" s="449" t="n"/>
      <c r="J124" s="449" t="n"/>
    </row>
    <row r="125" hidden="1" ht="16.5" customHeight="1">
      <c r="B125" s="194" t="n"/>
      <c r="C125" s="297" t="inlineStr">
        <is>
          <t>ФОТ и социальные отчисления для текущего заказа</t>
        </is>
      </c>
      <c r="D125" s="215" t="inlineStr">
        <is>
          <t>руб./заказ</t>
        </is>
      </c>
      <c r="E125" s="725">
        <f>(E126*E127*E128)</f>
        <v/>
      </c>
      <c r="F125" s="698">
        <f>(F126*F127*F128)</f>
        <v/>
      </c>
      <c r="G125" s="693">
        <f>-F125+E125</f>
        <v/>
      </c>
    </row>
    <row r="126" hidden="1" ht="16.5" customFormat="1" customHeight="1" s="61">
      <c r="B126" s="195" t="n"/>
      <c r="C126" s="298" t="inlineStr">
        <is>
          <t>Трудоемкость</t>
        </is>
      </c>
      <c r="D126" s="215" t="inlineStr">
        <is>
          <t>нормо-час/заказ</t>
        </is>
      </c>
      <c r="E126" s="698">
        <f>IFERROR('Чек-лист'!G133,0)</f>
        <v/>
      </c>
      <c r="F126" s="698">
        <f>IFERROR('Чек-лист'!H133,0)</f>
        <v/>
      </c>
      <c r="G126" s="699" t="n"/>
      <c r="I126" s="450" t="n"/>
      <c r="J126" s="449" t="n"/>
    </row>
    <row r="127" hidden="1" ht="16.5" customFormat="1" customHeight="1" s="61">
      <c r="B127" s="195" t="n"/>
      <c r="C127" s="298" t="inlineStr">
        <is>
          <t>Ставка оплаты</t>
        </is>
      </c>
      <c r="D127" s="215" t="inlineStr">
        <is>
          <t>руб./нормо-час</t>
        </is>
      </c>
      <c r="E127" s="698">
        <f>IFERROR('Чек-лист'!G134,0)</f>
        <v/>
      </c>
      <c r="F127" s="698">
        <f>IFERROR(IF('Чек-лист'!H134="",'Экономический эффект'!E127,'Чек-лист'!H134),0)</f>
        <v/>
      </c>
      <c r="G127" s="699" t="n"/>
      <c r="I127" s="449" t="n"/>
      <c r="J127" s="449" t="n"/>
    </row>
    <row r="128" hidden="1" ht="16.5" customFormat="1" customHeight="1" s="61">
      <c r="B128" s="195" t="n"/>
      <c r="C128" s="298" t="inlineStr">
        <is>
          <t>Социальные отчисления</t>
        </is>
      </c>
      <c r="D128" s="215" t="inlineStr">
        <is>
          <t>%</t>
        </is>
      </c>
      <c r="E128" s="173" t="n">
        <v>1.3</v>
      </c>
      <c r="F128" s="173" t="n">
        <v>1.3</v>
      </c>
      <c r="G128" s="699" t="n"/>
      <c r="I128" s="449" t="n"/>
      <c r="J128" s="449" t="n"/>
    </row>
    <row r="129" hidden="1" ht="16.5" customFormat="1" customHeight="1" s="61">
      <c r="B129" s="195" t="n"/>
      <c r="C129" s="298" t="inlineStr">
        <is>
          <t>Изменение удельных переменных затрат на оплату труда</t>
        </is>
      </c>
      <c r="D129" s="215" t="inlineStr">
        <is>
          <t>%</t>
        </is>
      </c>
      <c r="E129" s="217" t="n"/>
      <c r="F129" s="218">
        <f>IFERROR(F125/E125-1,0)</f>
        <v/>
      </c>
      <c r="G129" s="699" t="n"/>
      <c r="I129" s="449" t="n"/>
      <c r="J129" s="449" t="n"/>
    </row>
    <row r="130" hidden="1" ht="16.5" customFormat="1" customHeight="1" s="61">
      <c r="B130" s="195" t="n"/>
      <c r="C130" s="296" t="inlineStr">
        <is>
          <t>Энергоресурсы на полуфабикаты на все заказы</t>
        </is>
      </c>
      <c r="D130" s="216" t="inlineStr">
        <is>
          <t>руб.</t>
        </is>
      </c>
      <c r="E130" s="726">
        <f>IFERROR(IF(E133=0,E131,E133),0)</f>
        <v/>
      </c>
      <c r="F130" s="726">
        <f>IF(F133=0,F131,F133)</f>
        <v/>
      </c>
      <c r="G130" s="699" t="n"/>
      <c r="I130" s="449" t="n"/>
      <c r="J130" s="449" t="n"/>
    </row>
    <row r="131" hidden="1" ht="16.5" customHeight="1">
      <c r="B131" s="194" t="n"/>
      <c r="C131" s="297" t="inlineStr">
        <is>
          <t>Энергоресурсы для текущего заказа</t>
        </is>
      </c>
      <c r="D131" s="215" t="inlineStr">
        <is>
          <t>руб./заказ</t>
        </is>
      </c>
      <c r="E131" s="727">
        <f>IFERROR('Чек-лист'!G141,0)</f>
        <v/>
      </c>
      <c r="F131" s="698">
        <f>IFERROR('Чек-лист'!H141,0)</f>
        <v/>
      </c>
      <c r="G131" s="693">
        <f>-F131+E131</f>
        <v/>
      </c>
    </row>
    <row r="132" hidden="1" ht="16.5" customFormat="1" customHeight="1" s="61">
      <c r="B132" s="195" t="n"/>
      <c r="C132" s="298" t="inlineStr">
        <is>
          <t>Изменение затрат на энергоресурсы на ед. полуфабриката</t>
        </is>
      </c>
      <c r="D132" s="215" t="inlineStr">
        <is>
          <t>%</t>
        </is>
      </c>
      <c r="E132" s="728" t="n"/>
      <c r="F132" s="218">
        <f>IFERROR(F131/E131-1,0)</f>
        <v/>
      </c>
      <c r="G132" s="699" t="n"/>
      <c r="I132" s="449" t="n"/>
      <c r="J132" s="449" t="n"/>
    </row>
    <row r="133" hidden="1" ht="16.5" customFormat="1" customHeight="1" s="56">
      <c r="B133" s="195" t="n"/>
      <c r="C133" s="298" t="inlineStr">
        <is>
          <t>Затраты на энергоресурсы на все заказы в рублях за год</t>
        </is>
      </c>
      <c r="D133" s="215" t="inlineStr">
        <is>
          <t>руб.</t>
        </is>
      </c>
      <c r="E133" s="728">
        <f>IFERROR('Чек-лист'!G143,0)</f>
        <v/>
      </c>
      <c r="F133" s="728">
        <f>IFERROR(E133*(1+F132),0)</f>
        <v/>
      </c>
      <c r="G133" s="729" t="n"/>
      <c r="I133" s="447" t="n"/>
      <c r="J133" s="447" t="n"/>
    </row>
    <row r="134" ht="16.5" customHeight="1">
      <c r="B134" s="197" t="n"/>
      <c r="C134" s="338" t="n"/>
      <c r="D134" s="339" t="n"/>
      <c r="E134" s="730" t="n"/>
      <c r="F134" s="730" t="n"/>
      <c r="G134" s="731" t="n"/>
    </row>
    <row r="135" ht="16.5" customFormat="1" customHeight="1" s="59">
      <c r="B135" s="198" t="inlineStr">
        <is>
          <t>ПР</t>
        </is>
      </c>
      <c r="C135" s="294" t="inlineStr">
        <is>
          <t>ПОСТОЯННЫЕ РАСХОДЫ</t>
        </is>
      </c>
      <c r="D135" s="58" t="inlineStr">
        <is>
          <t>руб.</t>
        </is>
      </c>
      <c r="E135" s="680">
        <f>E136+E137+E141</f>
        <v/>
      </c>
      <c r="F135" s="680">
        <f>F136+F137+F141</f>
        <v/>
      </c>
      <c r="G135" s="681">
        <f>E135-F135</f>
        <v/>
      </c>
      <c r="I135" s="446" t="n"/>
      <c r="J135" s="446" t="n"/>
    </row>
    <row r="136" ht="16.5" customHeight="1">
      <c r="B136" s="193" t="inlineStr">
        <is>
          <t>ПР1.2</t>
        </is>
      </c>
      <c r="C136" s="296" t="inlineStr">
        <is>
          <t>Ремонт производственного оборудования и зданий</t>
        </is>
      </c>
      <c r="D136" s="57" t="inlineStr">
        <is>
          <t>руб.</t>
        </is>
      </c>
      <c r="E136" s="687">
        <f>IFERROR('Чек-лист'!G162,0)</f>
        <v/>
      </c>
      <c r="F136" s="687">
        <f>IFERROR('Чек-лист'!H162,0)</f>
        <v/>
      </c>
      <c r="G136" s="732">
        <f>-F136+E136</f>
        <v/>
      </c>
    </row>
    <row r="137" ht="16.5" customHeight="1">
      <c r="B137" s="193" t="inlineStr">
        <is>
          <t>ПР1.3</t>
        </is>
      </c>
      <c r="C137" s="296" t="inlineStr">
        <is>
          <t>ФОТ и соцотчисления ИТР и ВПР</t>
        </is>
      </c>
      <c r="D137" s="57" t="inlineStr">
        <is>
          <t>руб.</t>
        </is>
      </c>
      <c r="E137" s="687">
        <f>E138*E139*E140</f>
        <v/>
      </c>
      <c r="F137" s="687">
        <f>F138*F139*F140</f>
        <v/>
      </c>
      <c r="G137" s="732">
        <f>-F137+E137</f>
        <v/>
      </c>
    </row>
    <row r="138" ht="16.5" customFormat="1" customHeight="1" s="61">
      <c r="B138" s="195" t="inlineStr">
        <is>
          <t>ПР1.3.1</t>
        </is>
      </c>
      <c r="C138" s="298" t="inlineStr">
        <is>
          <t>Количество сотрудников</t>
        </is>
      </c>
      <c r="D138" s="60" t="inlineStr">
        <is>
          <t>чел.</t>
        </is>
      </c>
      <c r="E138" s="703">
        <f>IFERROR('Чек-лист'!G146,0)</f>
        <v/>
      </c>
      <c r="F138" s="703">
        <f>IFERROR('Чек-лист'!H146,0)</f>
        <v/>
      </c>
      <c r="G138" s="704">
        <f>F138-E138</f>
        <v/>
      </c>
      <c r="I138" s="449" t="n"/>
      <c r="J138" s="449" t="n"/>
    </row>
    <row r="139" ht="16.5" customFormat="1" customHeight="1" s="61">
      <c r="B139" s="195" t="inlineStr">
        <is>
          <t>ПР1.3.2</t>
        </is>
      </c>
      <c r="C139" s="298" t="inlineStr">
        <is>
          <t>Ставка оплаты за год</t>
        </is>
      </c>
      <c r="D139" s="60" t="inlineStr">
        <is>
          <t>руб./год</t>
        </is>
      </c>
      <c r="E139" s="703">
        <f>IFERROR('Чек-лист'!G147*12,0)</f>
        <v/>
      </c>
      <c r="F139" s="703">
        <f>E139</f>
        <v/>
      </c>
      <c r="G139" s="704">
        <f>F139-E139</f>
        <v/>
      </c>
      <c r="I139" s="449" t="n"/>
      <c r="J139" s="449" t="n"/>
    </row>
    <row r="140" ht="16.5" customFormat="1" customHeight="1" s="61">
      <c r="B140" s="195" t="inlineStr">
        <is>
          <t>ПР1.3.3</t>
        </is>
      </c>
      <c r="C140" s="298" t="inlineStr">
        <is>
          <t>Социальные отчисления</t>
        </is>
      </c>
      <c r="D140" s="60" t="inlineStr">
        <is>
          <t>%</t>
        </is>
      </c>
      <c r="E140" s="173" t="n">
        <v>1.3</v>
      </c>
      <c r="F140" s="173" t="n">
        <v>1.3</v>
      </c>
      <c r="G140" s="704">
        <f>F140-E140</f>
        <v/>
      </c>
      <c r="I140" s="449" t="n"/>
      <c r="J140" s="449" t="n"/>
    </row>
    <row r="141" ht="16.5" customHeight="1">
      <c r="B141" s="193" t="inlineStr">
        <is>
          <t>ПР3</t>
        </is>
      </c>
      <c r="C141" s="296" t="inlineStr">
        <is>
          <t>Коммунальные расходы</t>
        </is>
      </c>
      <c r="D141" s="57" t="inlineStr">
        <is>
          <t>руб.</t>
        </is>
      </c>
      <c r="E141" s="687">
        <f>E142+E145+E148+E151</f>
        <v/>
      </c>
      <c r="F141" s="687">
        <f>F142+F145+F148+F151</f>
        <v/>
      </c>
      <c r="G141" s="732">
        <f>-F141+E141</f>
        <v/>
      </c>
    </row>
    <row r="142" ht="16.5" customHeight="1">
      <c r="B142" s="194" t="inlineStr">
        <is>
          <t>ПР3.1</t>
        </is>
      </c>
      <c r="C142" s="297" t="inlineStr">
        <is>
          <t>Электроэнергия</t>
        </is>
      </c>
      <c r="D142" s="54" t="inlineStr">
        <is>
          <t>руб.</t>
        </is>
      </c>
      <c r="E142" s="697">
        <f>E143*E144</f>
        <v/>
      </c>
      <c r="F142" s="697">
        <f>F143*F144</f>
        <v/>
      </c>
      <c r="G142" s="732">
        <f>-F142+E142</f>
        <v/>
      </c>
    </row>
    <row r="143" ht="16.5" customHeight="1">
      <c r="B143" s="195" t="inlineStr">
        <is>
          <t>ПР3.1.1</t>
        </is>
      </c>
      <c r="C143" s="298" t="inlineStr">
        <is>
          <t>Объем потребления</t>
        </is>
      </c>
      <c r="D143" s="60" t="inlineStr">
        <is>
          <t>кВт</t>
        </is>
      </c>
      <c r="E143" s="703">
        <f>IFERROR('Чек-лист'!G150,0)</f>
        <v/>
      </c>
      <c r="F143" s="703">
        <f>IFERROR('Чек-лист'!H150,0)</f>
        <v/>
      </c>
      <c r="G143" s="706">
        <f>F143-E143</f>
        <v/>
      </c>
    </row>
    <row r="144" ht="16.5" customHeight="1">
      <c r="B144" s="195" t="inlineStr">
        <is>
          <t>ПР3.1.2</t>
        </is>
      </c>
      <c r="C144" s="298" t="inlineStr">
        <is>
          <t>Тариф</t>
        </is>
      </c>
      <c r="D144" s="60" t="inlineStr">
        <is>
          <t>руб./кВт</t>
        </is>
      </c>
      <c r="E144" s="703">
        <f>IFERROR('Чек-лист'!G151,0)</f>
        <v/>
      </c>
      <c r="F144" s="733">
        <f>E144</f>
        <v/>
      </c>
      <c r="G144" s="706">
        <f>F144-E144</f>
        <v/>
      </c>
    </row>
    <row r="145" ht="16.5" customHeight="1">
      <c r="B145" s="194" t="inlineStr">
        <is>
          <t>ПР3.2</t>
        </is>
      </c>
      <c r="C145" s="297" t="inlineStr">
        <is>
          <t>Вода</t>
        </is>
      </c>
      <c r="D145" s="54" t="inlineStr">
        <is>
          <t>руб.</t>
        </is>
      </c>
      <c r="E145" s="703">
        <f>E146*E147</f>
        <v/>
      </c>
      <c r="F145" s="703">
        <f>F146*F147</f>
        <v/>
      </c>
      <c r="G145" s="732">
        <f>-F145+E145</f>
        <v/>
      </c>
    </row>
    <row r="146" ht="16.5" customHeight="1">
      <c r="B146" s="195" t="inlineStr">
        <is>
          <t>ПР3.2.1</t>
        </is>
      </c>
      <c r="C146" s="298" t="inlineStr">
        <is>
          <t>Объем потребления</t>
        </is>
      </c>
      <c r="D146" s="60" t="inlineStr">
        <is>
          <t>м3</t>
        </is>
      </c>
      <c r="E146" s="703">
        <f>IFERROR('Чек-лист'!G153,0)</f>
        <v/>
      </c>
      <c r="F146" s="703">
        <f>IFERROR('Чек-лист'!H153,0)</f>
        <v/>
      </c>
      <c r="G146" s="706">
        <f>F146-E146</f>
        <v/>
      </c>
    </row>
    <row r="147" ht="16.5" customHeight="1">
      <c r="B147" s="195" t="inlineStr">
        <is>
          <t>ПР3.2.2</t>
        </is>
      </c>
      <c r="C147" s="298" t="inlineStr">
        <is>
          <t>Тариф</t>
        </is>
      </c>
      <c r="D147" s="60" t="inlineStr">
        <is>
          <t xml:space="preserve"> руб./м3</t>
        </is>
      </c>
      <c r="E147" s="703">
        <f>IFERROR('Чек-лист'!G154,0)</f>
        <v/>
      </c>
      <c r="F147" s="703">
        <f>E147</f>
        <v/>
      </c>
      <c r="G147" s="706">
        <f>F147-E147</f>
        <v/>
      </c>
    </row>
    <row r="148" ht="16.5" customHeight="1">
      <c r="B148" s="194" t="inlineStr">
        <is>
          <t>ПР3.3</t>
        </is>
      </c>
      <c r="C148" s="297" t="inlineStr">
        <is>
          <t>Газ</t>
        </is>
      </c>
      <c r="D148" s="54" t="inlineStr">
        <is>
          <t>руб.</t>
        </is>
      </c>
      <c r="E148" s="703">
        <f>E149*E150</f>
        <v/>
      </c>
      <c r="F148" s="703">
        <f>F149*F150</f>
        <v/>
      </c>
      <c r="G148" s="732">
        <f>-F148+E148</f>
        <v/>
      </c>
    </row>
    <row r="149" ht="16.5" customHeight="1">
      <c r="B149" s="195" t="inlineStr">
        <is>
          <t>ПР3.3.1</t>
        </is>
      </c>
      <c r="C149" s="298" t="inlineStr">
        <is>
          <t>Объем потребления</t>
        </is>
      </c>
      <c r="D149" s="60" t="inlineStr">
        <is>
          <t>м3</t>
        </is>
      </c>
      <c r="E149" s="703">
        <f>IFERROR('Чек-лист'!G156,0)</f>
        <v/>
      </c>
      <c r="F149" s="703">
        <f>IFERROR('Чек-лист'!H156,0)</f>
        <v/>
      </c>
      <c r="G149" s="706">
        <f>F149-E149</f>
        <v/>
      </c>
    </row>
    <row r="150" ht="16.5" customHeight="1">
      <c r="B150" s="195" t="inlineStr">
        <is>
          <t>ПР3.3.2</t>
        </is>
      </c>
      <c r="C150" s="298" t="inlineStr">
        <is>
          <t>Тариф</t>
        </is>
      </c>
      <c r="D150" s="60" t="inlineStr">
        <is>
          <t xml:space="preserve"> руб./м3</t>
        </is>
      </c>
      <c r="E150" s="703">
        <f>IFERROR('Чек-лист'!G157,0)</f>
        <v/>
      </c>
      <c r="F150" s="703">
        <f>E150</f>
        <v/>
      </c>
      <c r="G150" s="706">
        <f>F150-E150</f>
        <v/>
      </c>
    </row>
    <row r="151" ht="16.5" customHeight="1">
      <c r="B151" s="194" t="inlineStr">
        <is>
          <t>ПР3.4</t>
        </is>
      </c>
      <c r="C151" s="297" t="inlineStr">
        <is>
          <t>Тепло</t>
        </is>
      </c>
      <c r="D151" s="54" t="inlineStr">
        <is>
          <t>руб.</t>
        </is>
      </c>
      <c r="E151" s="703">
        <f>E152*E153</f>
        <v/>
      </c>
      <c r="F151" s="703">
        <f>F152*F153</f>
        <v/>
      </c>
      <c r="G151" s="732">
        <f>-F151+E151</f>
        <v/>
      </c>
    </row>
    <row r="152" ht="16.5" customHeight="1">
      <c r="B152" s="195" t="inlineStr">
        <is>
          <t>ПР3.4.1</t>
        </is>
      </c>
      <c r="C152" s="298" t="inlineStr">
        <is>
          <t>Объем потребления</t>
        </is>
      </c>
      <c r="D152" s="60" t="inlineStr">
        <is>
          <t>Гкал</t>
        </is>
      </c>
      <c r="E152" s="703">
        <f>IFERROR('Чек-лист'!G159,0)</f>
        <v/>
      </c>
      <c r="F152" s="703">
        <f>IFERROR('Чек-лист'!H159,0)</f>
        <v/>
      </c>
      <c r="G152" s="706">
        <f>F152-E152</f>
        <v/>
      </c>
    </row>
    <row r="153" ht="16.5" customHeight="1">
      <c r="B153" s="195" t="inlineStr">
        <is>
          <t>ПР3.4.2</t>
        </is>
      </c>
      <c r="C153" s="298" t="inlineStr">
        <is>
          <t>Тариф</t>
        </is>
      </c>
      <c r="D153" s="60" t="inlineStr">
        <is>
          <t>руб./Гкал</t>
        </is>
      </c>
      <c r="E153" s="703">
        <f>IFERROR('Чек-лист'!G160,0)</f>
        <v/>
      </c>
      <c r="F153" s="703">
        <f>E153</f>
        <v/>
      </c>
      <c r="G153" s="706">
        <f>F153-E153</f>
        <v/>
      </c>
    </row>
    <row r="154" ht="16.5" customHeight="1">
      <c r="B154" s="197" t="n"/>
      <c r="C154" s="338" t="n"/>
      <c r="D154" s="339" t="n"/>
      <c r="E154" s="730" t="n"/>
      <c r="F154" s="730" t="n"/>
      <c r="G154" s="731" t="n"/>
    </row>
    <row r="155" ht="16.5" customFormat="1" customHeight="1" s="59">
      <c r="B155" s="198" t="inlineStr">
        <is>
          <t>ПДР</t>
        </is>
      </c>
      <c r="C155" s="294" t="inlineStr">
        <is>
          <t>ПРОЧИЕ ДОХОДЫ И РАСХОДЫ</t>
        </is>
      </c>
      <c r="D155" s="58" t="inlineStr">
        <is>
          <t>руб.</t>
        </is>
      </c>
      <c r="E155" s="680">
        <f>E157</f>
        <v/>
      </c>
      <c r="F155" s="680">
        <f>F158*F159+F161+F163</f>
        <v/>
      </c>
      <c r="G155" s="681">
        <f>F155-E155</f>
        <v/>
      </c>
      <c r="H155" s="682" t="n"/>
      <c r="I155" s="446" t="n"/>
      <c r="J155" s="446" t="n"/>
    </row>
    <row r="156" ht="16.5" customFormat="1" customHeight="1" s="59">
      <c r="B156" s="202" t="n"/>
      <c r="C156" s="295" t="inlineStr">
        <is>
          <t>Потенциальный эффект</t>
        </is>
      </c>
      <c r="D156" s="184" t="inlineStr">
        <is>
          <t>руб.</t>
        </is>
      </c>
      <c r="E156" s="683" t="n"/>
      <c r="F156" s="683" t="n"/>
      <c r="G156" s="684">
        <f>F158*F160+F164</f>
        <v/>
      </c>
      <c r="H156" s="682" t="n"/>
      <c r="I156" s="679" t="n"/>
      <c r="J156" s="446" t="n"/>
    </row>
    <row r="157" ht="16.5" customHeight="1">
      <c r="B157" s="199" t="inlineStr">
        <is>
          <t>ПДР2</t>
        </is>
      </c>
      <c r="C157" s="297" t="inlineStr">
        <is>
          <t>Доходы от сдачи помещений в аренду</t>
        </is>
      </c>
      <c r="D157" s="54" t="inlineStr">
        <is>
          <t>руб.</t>
        </is>
      </c>
      <c r="E157" s="697">
        <f>IFERROR(IF($F$159=0,E158*E160,E158*E159),0)</f>
        <v/>
      </c>
      <c r="F157" s="697">
        <f>IFERROR(IF($F$159=0,F158*F160,F158*F159),0)</f>
        <v/>
      </c>
      <c r="G157" s="732">
        <f>F157-E157</f>
        <v/>
      </c>
    </row>
    <row r="158" ht="16.5" customFormat="1" customHeight="1" s="61">
      <c r="B158" s="200" t="inlineStr">
        <is>
          <t>ПДР2.1</t>
        </is>
      </c>
      <c r="C158" s="298" t="inlineStr">
        <is>
          <t>Площадь помещений</t>
        </is>
      </c>
      <c r="D158" s="60" t="inlineStr">
        <is>
          <t>кв.м</t>
        </is>
      </c>
      <c r="E158" s="703" t="n">
        <v>0</v>
      </c>
      <c r="F158" s="703">
        <f>IFERROR('Чек-лист'!H165,0)</f>
        <v/>
      </c>
      <c r="G158" s="706" t="n"/>
      <c r="I158" s="449" t="n"/>
      <c r="J158" s="449" t="n"/>
    </row>
    <row r="159" ht="16.5" customFormat="1" customHeight="1" s="61">
      <c r="B159" s="200" t="inlineStr">
        <is>
          <t>ПДР2.2</t>
        </is>
      </c>
      <c r="C159" s="298" t="inlineStr">
        <is>
          <t>Ставка аренды - реальный эффект</t>
        </is>
      </c>
      <c r="D159" s="60" t="inlineStr">
        <is>
          <t>руб.</t>
        </is>
      </c>
      <c r="E159" s="703">
        <f>F159</f>
        <v/>
      </c>
      <c r="F159" s="703">
        <f>IFERROR('Чек-лист'!H168,0)</f>
        <v/>
      </c>
      <c r="G159" s="706" t="n"/>
      <c r="I159" s="449" t="n"/>
      <c r="J159" s="449" t="n"/>
    </row>
    <row r="160" ht="16.5" customFormat="1" customHeight="1" s="61">
      <c r="B160" s="200" t="inlineStr">
        <is>
          <t>ПДР2.2</t>
        </is>
      </c>
      <c r="C160" s="298" t="inlineStr">
        <is>
          <t>Ставка аренды - потенциальный эффект</t>
        </is>
      </c>
      <c r="D160" s="60" t="inlineStr">
        <is>
          <t>руб.</t>
        </is>
      </c>
      <c r="E160" s="703">
        <f>F160</f>
        <v/>
      </c>
      <c r="F160" s="703">
        <f>IFERROR('Чек-лист'!H167,0)</f>
        <v/>
      </c>
      <c r="G160" s="706" t="n"/>
      <c r="I160" s="449" t="n"/>
      <c r="J160" s="449" t="n"/>
    </row>
    <row r="161" ht="28.25" customHeight="1">
      <c r="B161" s="199" t="inlineStr">
        <is>
          <t>ПДР3</t>
        </is>
      </c>
      <c r="C161" s="297" t="inlineStr">
        <is>
          <t>Расходы на брак (сокращение объема брака на общий объем переменных затрат потока после проекта)</t>
        </is>
      </c>
      <c r="D161" s="54" t="inlineStr">
        <is>
          <t>руб.</t>
        </is>
      </c>
      <c r="E161" s="697" t="n"/>
      <c r="F161" s="697">
        <f>IFERROR(IF('Чек-лист'!$G$17="да",(E162-F162)*F72/(1-F162)*F79,(IF('Чек-лист'!$G$23="да",(E162-F162)*F21/(1-F162)*F25,(E162-F162)*F68))),0)</f>
        <v/>
      </c>
      <c r="G161" s="732">
        <f>F161</f>
        <v/>
      </c>
      <c r="I161" s="694" t="n"/>
    </row>
    <row r="162" ht="16.5" customFormat="1" customHeight="1" s="61">
      <c r="B162" s="195" t="inlineStr">
        <is>
          <t>ПДР3.2.1</t>
        </is>
      </c>
      <c r="C162" s="298" t="inlineStr">
        <is>
          <t>Доля брака в объеме производства</t>
        </is>
      </c>
      <c r="D162" s="60" t="inlineStr">
        <is>
          <t>%</t>
        </is>
      </c>
      <c r="E162" s="173">
        <f>IFERROR('Чек-лист'!G170,0)</f>
        <v/>
      </c>
      <c r="F162" s="173">
        <f>IFERROR('Чек-лист'!H170,0)</f>
        <v/>
      </c>
      <c r="G162" s="706" t="n"/>
      <c r="I162" s="734" t="n"/>
      <c r="J162" s="734" t="n"/>
    </row>
    <row r="163" ht="16.5" customHeight="1">
      <c r="B163" s="193" t="inlineStr">
        <is>
          <t>ПР2.3</t>
        </is>
      </c>
      <c r="C163" s="296" t="inlineStr">
        <is>
          <t>Прочие эффекты - реальный эффект</t>
        </is>
      </c>
      <c r="D163" s="57" t="inlineStr">
        <is>
          <t>руб.</t>
        </is>
      </c>
      <c r="E163" s="687" t="n">
        <v>0</v>
      </c>
      <c r="F163" s="687">
        <f>IFERROR(IF('Чек-лист'!$G$190="нет",0,'Чек-лист'!H191),0)</f>
        <v/>
      </c>
      <c r="G163" s="732">
        <f>F163-E163</f>
        <v/>
      </c>
    </row>
    <row r="164" ht="16.5" customHeight="1">
      <c r="B164" s="193" t="inlineStr">
        <is>
          <t>ПР2.4</t>
        </is>
      </c>
      <c r="C164" s="296" t="inlineStr">
        <is>
          <t>Прочие эффекты - потенциальный эффект</t>
        </is>
      </c>
      <c r="D164" s="57" t="inlineStr">
        <is>
          <t>руб.</t>
        </is>
      </c>
      <c r="E164" s="687" t="n">
        <v>0</v>
      </c>
      <c r="F164" s="687">
        <f>IFERROR(IF('Чек-лист'!$G$190="да",0,'Чек-лист'!H191),0)</f>
        <v/>
      </c>
      <c r="G164" s="732">
        <f>F164-E164</f>
        <v/>
      </c>
    </row>
    <row r="165" ht="16.5" customHeight="1">
      <c r="B165" s="197" t="n"/>
      <c r="C165" s="338" t="n"/>
      <c r="D165" s="339" t="n"/>
      <c r="E165" s="730" t="n"/>
      <c r="F165" s="730" t="n"/>
      <c r="G165" s="731" t="n"/>
    </row>
    <row r="166" ht="16.5" customFormat="1" customHeight="1" s="59">
      <c r="B166" s="198" t="inlineStr">
        <is>
          <t>РК</t>
        </is>
      </c>
      <c r="C166" s="294" t="inlineStr">
        <is>
          <t>ИЗМЕНЕНИЕ РАБОЧЕГО КАПИТАЛА</t>
        </is>
      </c>
      <c r="D166" s="58" t="inlineStr">
        <is>
          <t>руб.</t>
        </is>
      </c>
      <c r="E166" s="680" t="n"/>
      <c r="F166" s="680">
        <f>F168-E168</f>
        <v/>
      </c>
      <c r="G166" s="681">
        <f>-F166</f>
        <v/>
      </c>
      <c r="H166" s="682" t="n"/>
      <c r="I166" s="446" t="n"/>
      <c r="J166" s="446" t="n"/>
    </row>
    <row r="167" ht="16.5" customFormat="1" customHeight="1" s="59">
      <c r="B167" s="198" t="n"/>
      <c r="C167" s="295" t="inlineStr">
        <is>
          <t>Эффект от изменения запасов (через ключевую ставку)</t>
        </is>
      </c>
      <c r="D167" s="184" t="inlineStr">
        <is>
          <t>руб.</t>
        </is>
      </c>
      <c r="E167" s="680" t="n"/>
      <c r="F167" s="680">
        <f>-F166*'Чек-лист'!H187</f>
        <v/>
      </c>
      <c r="G167" s="681">
        <f>F167</f>
        <v/>
      </c>
      <c r="I167" s="446" t="n"/>
      <c r="J167" s="446" t="n"/>
    </row>
    <row r="168" ht="16.5" customFormat="1" customHeight="1" s="56">
      <c r="B168" s="193" t="inlineStr">
        <is>
          <t>РК1</t>
        </is>
      </c>
      <c r="C168" s="296" t="inlineStr">
        <is>
          <t>Остаток на начало / конец периода</t>
        </is>
      </c>
      <c r="D168" s="57" t="inlineStr">
        <is>
          <t>руб.</t>
        </is>
      </c>
      <c r="E168" s="735">
        <f>E169+E170+E171+E174+E177</f>
        <v/>
      </c>
      <c r="F168" s="735">
        <f>F169+F170+F171+F174+F177</f>
        <v/>
      </c>
      <c r="G168" s="690">
        <f>-F168+E168</f>
        <v/>
      </c>
      <c r="I168" s="447" t="n"/>
      <c r="J168" s="447" t="n"/>
    </row>
    <row r="169" ht="16.5" customHeight="1">
      <c r="B169" s="194" t="inlineStr">
        <is>
          <t>РК1.1</t>
        </is>
      </c>
      <c r="C169" s="297" t="inlineStr">
        <is>
          <t>Дебиторская задолженность</t>
        </is>
      </c>
      <c r="D169" s="54" t="inlineStr">
        <is>
          <t>руб.</t>
        </is>
      </c>
      <c r="E169" s="736" t="n">
        <v>0</v>
      </c>
      <c r="F169" s="736" t="n">
        <v>0</v>
      </c>
      <c r="G169" s="704">
        <f>F169-E169</f>
        <v/>
      </c>
    </row>
    <row r="170" ht="16.5" customHeight="1">
      <c r="B170" s="194" t="inlineStr">
        <is>
          <t>РК1.2</t>
        </is>
      </c>
      <c r="C170" s="297" t="inlineStr">
        <is>
          <t>Кредиторская задолженность</t>
        </is>
      </c>
      <c r="D170" s="54" t="inlineStr">
        <is>
          <t>руб.</t>
        </is>
      </c>
      <c r="E170" s="736" t="n">
        <v>0</v>
      </c>
      <c r="F170" s="736" t="n">
        <v>0</v>
      </c>
      <c r="G170" s="704">
        <f>F170-E170</f>
        <v/>
      </c>
    </row>
    <row r="171" ht="16.5" customHeight="1">
      <c r="B171" s="194" t="inlineStr">
        <is>
          <t>РК1.3</t>
        </is>
      </c>
      <c r="C171" s="297" t="inlineStr">
        <is>
          <t>Запасы сырья и материалов</t>
        </is>
      </c>
      <c r="D171" s="54" t="inlineStr">
        <is>
          <t>руб.</t>
        </is>
      </c>
      <c r="E171" s="697">
        <f>IFERROR(IF('Чек-лист'!G181="",E172*E173,'Чек-лист'!G181),0)</f>
        <v/>
      </c>
      <c r="F171" s="697">
        <f>IFERROR(IF('Чек-лист'!H181="",F172*F173,'Чек-лист'!H181),0)</f>
        <v/>
      </c>
      <c r="G171" s="732">
        <f>-F171+E171</f>
        <v/>
      </c>
    </row>
    <row r="172" ht="16.5" customFormat="1" customHeight="1" s="61">
      <c r="B172" s="195" t="inlineStr">
        <is>
          <t>РК1.3.1</t>
        </is>
      </c>
      <c r="C172" s="298" t="inlineStr">
        <is>
          <t>Объем запасов сырья и материалов</t>
        </is>
      </c>
      <c r="D172" s="60" t="inlineStr">
        <is>
          <t>нат.ед.</t>
        </is>
      </c>
      <c r="E172" s="703">
        <f>IFERROR('Чек-лист'!G179,0)</f>
        <v/>
      </c>
      <c r="F172" s="703">
        <f>IFERROR('Чек-лист'!H179,0)</f>
        <v/>
      </c>
      <c r="G172" s="376">
        <f>F172-E172</f>
        <v/>
      </c>
      <c r="I172" s="449" t="n"/>
      <c r="J172" s="449" t="n"/>
    </row>
    <row r="173" ht="16.5" customFormat="1" customHeight="1" s="61">
      <c r="B173" s="195" t="inlineStr">
        <is>
          <t>РК1.3.2</t>
        </is>
      </c>
      <c r="C173" s="298" t="inlineStr">
        <is>
          <t>Цена запасов сырья и материалов</t>
        </is>
      </c>
      <c r="D173" s="60" t="inlineStr">
        <is>
          <t>руб.</t>
        </is>
      </c>
      <c r="E173" s="703">
        <f>IFERROR('Чек-лист'!G180,0)</f>
        <v/>
      </c>
      <c r="F173" s="703">
        <f>E173</f>
        <v/>
      </c>
      <c r="G173" s="376">
        <f>F173-E173</f>
        <v/>
      </c>
      <c r="I173" s="449" t="n"/>
      <c r="J173" s="449" t="n"/>
    </row>
    <row r="174" ht="16.5" customHeight="1">
      <c r="B174" s="194" t="inlineStr">
        <is>
          <t>РК1.4</t>
        </is>
      </c>
      <c r="C174" s="297" t="inlineStr">
        <is>
          <t>Запасы готовой продукции</t>
        </is>
      </c>
      <c r="D174" s="54" t="inlineStr">
        <is>
          <t>руб.</t>
        </is>
      </c>
      <c r="E174" s="697">
        <f>IFERROR(IF(E175=0,'Чек-лист'!G186,E175*E176),0)</f>
        <v/>
      </c>
      <c r="F174" s="697">
        <f>IFERROR(IF(F175=0,'Чек-лист'!H186,F175*F176),0)</f>
        <v/>
      </c>
      <c r="G174" s="732">
        <f>-F174+E174</f>
        <v/>
      </c>
    </row>
    <row r="175" ht="16.5" customFormat="1" customHeight="1" s="61">
      <c r="B175" s="195" t="inlineStr">
        <is>
          <t>РК1.4.1</t>
        </is>
      </c>
      <c r="C175" s="298" t="inlineStr">
        <is>
          <t>Объем запасов готовой продукции</t>
        </is>
      </c>
      <c r="D175" s="60" t="inlineStr">
        <is>
          <t>нат.ед.</t>
        </is>
      </c>
      <c r="E175" s="703">
        <f>IFERROR('Чек-лист'!G184,0)</f>
        <v/>
      </c>
      <c r="F175" s="703">
        <f>'Чек-лист'!H184</f>
        <v/>
      </c>
      <c r="G175" s="376">
        <f>F175-E175</f>
        <v/>
      </c>
      <c r="I175" s="449" t="n"/>
      <c r="J175" s="449" t="n"/>
    </row>
    <row r="176" ht="16.5" customFormat="1" customHeight="1" s="61">
      <c r="B176" s="195" t="inlineStr">
        <is>
          <t>РК1.4.2</t>
        </is>
      </c>
      <c r="C176" s="298" t="inlineStr">
        <is>
          <t>Цена запасов готовой продукции</t>
        </is>
      </c>
      <c r="D176" s="60" t="inlineStr">
        <is>
          <t>руб.</t>
        </is>
      </c>
      <c r="E176" s="703">
        <f>IFERROR('Чек-лист'!G185,0)</f>
        <v/>
      </c>
      <c r="F176" s="703">
        <f>E176</f>
        <v/>
      </c>
      <c r="G176" s="376">
        <f>F176-E176</f>
        <v/>
      </c>
      <c r="I176" s="449" t="n"/>
      <c r="J176" s="449" t="n"/>
    </row>
    <row r="177" ht="16.5" customHeight="1">
      <c r="B177" s="194" t="inlineStr">
        <is>
          <t>РК1.5</t>
        </is>
      </c>
      <c r="C177" s="297" t="inlineStr">
        <is>
          <t>Запасы незавершенного производства</t>
        </is>
      </c>
      <c r="D177" s="54" t="inlineStr">
        <is>
          <t>руб.</t>
        </is>
      </c>
      <c r="E177" s="697">
        <f>IFERROR(IF('Чек-лист'!G176="",E178*E179,'Чек-лист'!G176),0)</f>
        <v/>
      </c>
      <c r="F177" s="697">
        <f>IFERROR(IF('Чек-лист'!H176="",F178*F179,'Чек-лист'!H176),0)</f>
        <v/>
      </c>
      <c r="G177" s="732">
        <f>-F177+E177</f>
        <v/>
      </c>
    </row>
    <row r="178" ht="16.5" customFormat="1" customHeight="1" s="61">
      <c r="B178" s="195" t="inlineStr">
        <is>
          <t>РК1.5.1</t>
        </is>
      </c>
      <c r="C178" s="298" t="inlineStr">
        <is>
          <t>Объем запасов незавершенного производства</t>
        </is>
      </c>
      <c r="D178" s="60" t="inlineStr">
        <is>
          <t>нат.ед.</t>
        </is>
      </c>
      <c r="E178" s="703">
        <f>IFERROR('Чек-лист'!G174,0)</f>
        <v/>
      </c>
      <c r="F178" s="703">
        <f>IFERROR('Чек-лист'!H174,0)</f>
        <v/>
      </c>
      <c r="G178" s="376">
        <f>F178-E178</f>
        <v/>
      </c>
      <c r="I178" s="449" t="n"/>
      <c r="J178" s="449" t="n"/>
    </row>
    <row r="179" ht="16.5" customFormat="1" customHeight="1" s="61">
      <c r="B179" s="201" t="inlineStr">
        <is>
          <t>РК1.5.2</t>
        </is>
      </c>
      <c r="C179" s="299" t="inlineStr">
        <is>
          <t>Цена запасов незавершенного производства</t>
        </is>
      </c>
      <c r="D179" s="196" t="inlineStr">
        <is>
          <t>руб.</t>
        </is>
      </c>
      <c r="E179" s="737">
        <f>IFERROR('Чек-лист'!G175,0)</f>
        <v/>
      </c>
      <c r="F179" s="737">
        <f>IFERROR('Чек-лист'!H175,0)</f>
        <v/>
      </c>
      <c r="G179" s="377">
        <f>F179-E179</f>
        <v/>
      </c>
      <c r="I179" s="449" t="n"/>
      <c r="J179" s="449" t="n"/>
    </row>
    <row r="181" ht="19" customHeight="1">
      <c r="C181" s="341" t="inlineStr">
        <is>
          <t>Факторы влияния на экономический эффект</t>
        </is>
      </c>
    </row>
    <row r="182">
      <c r="C182" s="407" t="inlineStr">
        <is>
          <t>Показатели</t>
        </is>
      </c>
      <c r="D182" s="407" t="inlineStr">
        <is>
          <t>Ед.изм.</t>
        </is>
      </c>
      <c r="E182" s="407" t="inlineStr">
        <is>
          <t>Экономический эффект</t>
        </is>
      </c>
    </row>
    <row r="183" ht="16" customHeight="1">
      <c r="C183" s="297" t="inlineStr">
        <is>
          <t>Выработка</t>
        </is>
      </c>
      <c r="D183" s="408" t="inlineStr">
        <is>
          <t>руб.</t>
        </is>
      </c>
      <c r="E183" s="738">
        <f>J16+J45+J72+J112</f>
        <v/>
      </c>
    </row>
    <row r="184" ht="16" customHeight="1">
      <c r="C184" s="297" t="inlineStr">
        <is>
          <t>Себестоимость</t>
        </is>
      </c>
      <c r="D184" s="408" t="inlineStr">
        <is>
          <t>руб.</t>
        </is>
      </c>
      <c r="E184" s="738">
        <f>J17+J46+J73+J113+G135</f>
        <v/>
      </c>
    </row>
    <row r="185" ht="16" customHeight="1">
      <c r="C185" s="297" t="inlineStr">
        <is>
          <t>Запасы, в т.ч.:</t>
        </is>
      </c>
      <c r="D185" s="408" t="inlineStr">
        <is>
          <t>руб.</t>
        </is>
      </c>
      <c r="E185" s="738">
        <f>G167</f>
        <v/>
      </c>
    </row>
    <row r="186" ht="16" customHeight="1">
      <c r="C186" s="502" t="inlineStr">
        <is>
          <t>Запасы в потоке/НЗП</t>
        </is>
      </c>
      <c r="D186" s="408" t="inlineStr">
        <is>
          <t>руб.</t>
        </is>
      </c>
      <c r="E186" s="738">
        <f>G177*'Чек-лист'!H187</f>
        <v/>
      </c>
    </row>
    <row r="187" ht="16" customHeight="1">
      <c r="C187" s="502" t="inlineStr">
        <is>
          <t>Сырьё и материалы</t>
        </is>
      </c>
      <c r="D187" s="408" t="inlineStr">
        <is>
          <t>руб.</t>
        </is>
      </c>
      <c r="E187" s="738">
        <f>G171*'Чек-лист'!H187</f>
        <v/>
      </c>
    </row>
    <row r="188" ht="16" customHeight="1">
      <c r="C188" s="502" t="inlineStr">
        <is>
          <t>Готовая продукция</t>
        </is>
      </c>
      <c r="D188" s="408" t="inlineStr">
        <is>
          <t>руб.</t>
        </is>
      </c>
      <c r="E188" s="738">
        <f>G174*'Чек-лист'!H187</f>
        <v/>
      </c>
    </row>
    <row r="189" ht="16" customHeight="1">
      <c r="C189" s="297" t="inlineStr">
        <is>
          <t>Брак</t>
        </is>
      </c>
      <c r="D189" s="408" t="inlineStr">
        <is>
          <t>руб.</t>
        </is>
      </c>
      <c r="E189" s="738">
        <f>G161</f>
        <v/>
      </c>
    </row>
    <row r="190" ht="16" customHeight="1">
      <c r="C190" s="297" t="inlineStr">
        <is>
          <t>Прочее</t>
        </is>
      </c>
      <c r="D190" s="408" t="inlineStr">
        <is>
          <t>руб.</t>
        </is>
      </c>
      <c r="E190" s="738">
        <f>G155-G161+J74+G167</f>
        <v/>
      </c>
    </row>
    <row r="191" ht="16" customHeight="1">
      <c r="C191" s="295" t="inlineStr">
        <is>
          <t>Итого</t>
        </is>
      </c>
      <c r="D191" s="184" t="inlineStr">
        <is>
          <t>руб.</t>
        </is>
      </c>
      <c r="E191" s="739">
        <f>SUM(E183:E185,E189:E190)</f>
        <v/>
      </c>
      <c r="F191" s="740">
        <f>E191-G9</f>
        <v/>
      </c>
    </row>
    <row r="192" ht="19" customHeight="1">
      <c r="C192" s="411">
        <f>IF(ROUND(F191,0)=0,"","ОШИБКА: Убедитесь, что перед заполнением модели была выполнена очистка данных!")</f>
        <v/>
      </c>
    </row>
    <row r="193" ht="19" customHeight="1">
      <c r="C193" s="341" t="inlineStr">
        <is>
          <t>Факторы влияния на переменную себестоимость</t>
        </is>
      </c>
    </row>
    <row r="194">
      <c r="C194" s="407" t="inlineStr">
        <is>
          <t>Показатели</t>
        </is>
      </c>
      <c r="D194" s="407" t="inlineStr">
        <is>
          <t>Ед.изм.</t>
        </is>
      </c>
      <c r="E194" s="407" t="inlineStr">
        <is>
          <t>Экономический эффект</t>
        </is>
      </c>
    </row>
    <row r="195" ht="16" customHeight="1">
      <c r="C195" s="297" t="inlineStr">
        <is>
          <t>Сырье и материалы</t>
        </is>
      </c>
      <c r="D195" s="408" t="inlineStr">
        <is>
          <t>руб.</t>
        </is>
      </c>
      <c r="E195" s="738">
        <f>J19+J48+J75+J114</f>
        <v/>
      </c>
    </row>
    <row r="196" ht="16" customHeight="1">
      <c r="C196" s="297" t="inlineStr">
        <is>
          <t>Сдельный ФОТ и социальные отчисления</t>
        </is>
      </c>
      <c r="D196" s="408" t="inlineStr">
        <is>
          <t>руб.</t>
        </is>
      </c>
      <c r="E196" s="738">
        <f>J20+J49+J76+J115</f>
        <v/>
      </c>
    </row>
    <row r="197" ht="16" customHeight="1">
      <c r="C197" s="297" t="inlineStr">
        <is>
          <t>Энергетика</t>
        </is>
      </c>
      <c r="D197" s="408" t="inlineStr">
        <is>
          <t>руб.</t>
        </is>
      </c>
      <c r="E197" s="738">
        <f>J21+J50+J77+J116</f>
        <v/>
      </c>
    </row>
    <row r="198" ht="16" customHeight="1">
      <c r="C198" s="295" t="inlineStr">
        <is>
          <t>Итого</t>
        </is>
      </c>
      <c r="D198" s="184" t="inlineStr">
        <is>
          <t>руб.</t>
        </is>
      </c>
      <c r="E198" s="739">
        <f>SUM(E195:E197)</f>
        <v/>
      </c>
    </row>
    <row r="200" ht="19" customHeight="1">
      <c r="C200" s="341" t="inlineStr">
        <is>
          <t>Факторы влияния на постоянную себестоимость</t>
        </is>
      </c>
    </row>
    <row r="201">
      <c r="C201" s="407" t="inlineStr">
        <is>
          <t>Показатели</t>
        </is>
      </c>
      <c r="D201" s="407" t="inlineStr">
        <is>
          <t>Ед.изм.</t>
        </is>
      </c>
      <c r="E201" s="407" t="inlineStr">
        <is>
          <t>Экономический эффект</t>
        </is>
      </c>
    </row>
    <row r="202" ht="16" customHeight="1">
      <c r="C202" s="297" t="inlineStr">
        <is>
          <t>Ремонт производственного оборудования и зданий</t>
        </is>
      </c>
      <c r="D202" s="408" t="inlineStr">
        <is>
          <t>руб.</t>
        </is>
      </c>
      <c r="E202" s="738">
        <f>G136</f>
        <v/>
      </c>
    </row>
    <row r="203" ht="16" customHeight="1">
      <c r="C203" s="297" t="inlineStr">
        <is>
          <t>Повременный ФОТ и социальные отчисления</t>
        </is>
      </c>
      <c r="D203" s="408" t="inlineStr">
        <is>
          <t>руб.</t>
        </is>
      </c>
      <c r="E203" s="738">
        <f>G137</f>
        <v/>
      </c>
    </row>
    <row r="204" ht="16" customHeight="1">
      <c r="C204" s="297" t="inlineStr">
        <is>
          <t>Коммунальные расходы</t>
        </is>
      </c>
      <c r="D204" s="408" t="inlineStr">
        <is>
          <t>руб.</t>
        </is>
      </c>
      <c r="E204" s="738">
        <f>G141</f>
        <v/>
      </c>
    </row>
    <row r="205" ht="16" customHeight="1">
      <c r="C205" s="295" t="inlineStr">
        <is>
          <t>Итого</t>
        </is>
      </c>
      <c r="D205" s="184" t="inlineStr">
        <is>
          <t>руб.</t>
        </is>
      </c>
      <c r="E205" s="739">
        <f>SUM(E202:E204)</f>
        <v/>
      </c>
    </row>
    <row r="207" ht="19" customHeight="1">
      <c r="C207" s="341" t="inlineStr">
        <is>
          <t>Прочие факторы влияния на экономический эффект</t>
        </is>
      </c>
    </row>
    <row r="208">
      <c r="C208" s="407" t="inlineStr">
        <is>
          <t>Показатели</t>
        </is>
      </c>
      <c r="D208" s="407" t="inlineStr">
        <is>
          <t>Ед.изм.</t>
        </is>
      </c>
      <c r="E208" s="407" t="inlineStr">
        <is>
          <t>Экономический эффект</t>
        </is>
      </c>
    </row>
    <row r="209" ht="16" customHeight="1">
      <c r="C209" s="297" t="inlineStr">
        <is>
          <t>Аренда помещений</t>
        </is>
      </c>
      <c r="D209" s="408" t="inlineStr">
        <is>
          <t>руб.</t>
        </is>
      </c>
      <c r="E209" s="738">
        <f>F158*F159</f>
        <v/>
      </c>
    </row>
    <row r="210" ht="16" customHeight="1">
      <c r="C210" s="297" t="inlineStr">
        <is>
          <t>Изменение цены или сортности ГП</t>
        </is>
      </c>
      <c r="D210" s="408" t="inlineStr">
        <is>
          <t>руб.</t>
        </is>
      </c>
      <c r="E210" s="738">
        <f>J74</f>
        <v/>
      </c>
    </row>
    <row r="211" ht="16" customHeight="1">
      <c r="C211" s="297" t="inlineStr">
        <is>
          <t>Прочие факторы</t>
        </is>
      </c>
      <c r="D211" s="408" t="inlineStr">
        <is>
          <t>руб.</t>
        </is>
      </c>
      <c r="E211" s="738">
        <f>G163</f>
        <v/>
      </c>
    </row>
    <row r="212" ht="16" customHeight="1">
      <c r="C212" s="295" t="inlineStr">
        <is>
          <t>Итого</t>
        </is>
      </c>
      <c r="D212" s="184" t="inlineStr">
        <is>
          <t>руб.</t>
        </is>
      </c>
      <c r="E212" s="739">
        <f>SUM(E209:E211)</f>
        <v/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igh97+e5CYv3kEpDQJg3KQ==" formatRows="1" sort="1" spinCount="100000" hashValue="jX8PI1HsUF+fw6gOthfM9J/VGO5mF2QsT1lfh8HWCBgOHKAu3nc0/J/gwrgO2DRxKTw51H562dwhMGeuYdPb7A=="/>
  <autoFilter ref="B9:G133">
    <filterColumn colId="0" hiddenButton="0" showButton="1">
      <colorFilter dxfId="172"/>
    </filterColumn>
  </autoFilter>
  <mergeCells count="4">
    <mergeCell ref="C7:C8"/>
    <mergeCell ref="B7:B8"/>
    <mergeCell ref="D7:D8"/>
    <mergeCell ref="E7:G7"/>
  </mergeCells>
  <conditionalFormatting sqref="F27">
    <cfRule type="expression" priority="47" dxfId="2">
      <formula>F27&gt;E27</formula>
    </cfRule>
    <cfRule type="expression" priority="48" dxfId="1">
      <formula>F27&lt;E27</formula>
    </cfRule>
  </conditionalFormatting>
  <conditionalFormatting sqref="F28">
    <cfRule type="expression" priority="45" dxfId="2">
      <formula>F28&gt;E28</formula>
    </cfRule>
    <cfRule type="expression" priority="46" dxfId="1">
      <formula>F28&lt;E28</formula>
    </cfRule>
  </conditionalFormatting>
  <conditionalFormatting sqref="F30:F31">
    <cfRule type="expression" priority="43" dxfId="2">
      <formula>F30&gt;E30</formula>
    </cfRule>
    <cfRule type="expression" priority="44" dxfId="1">
      <formula>F30&lt;E30</formula>
    </cfRule>
  </conditionalFormatting>
  <conditionalFormatting sqref="F34:F35">
    <cfRule type="expression" priority="41" dxfId="2">
      <formula>F34&gt;E34</formula>
    </cfRule>
    <cfRule type="expression" priority="42" dxfId="1">
      <formula>F34&lt;E34</formula>
    </cfRule>
  </conditionalFormatting>
  <conditionalFormatting sqref="F37:F38">
    <cfRule type="expression" priority="39" dxfId="2">
      <formula>F37&gt;E37</formula>
    </cfRule>
    <cfRule type="expression" priority="40" dxfId="1">
      <formula>F37&lt;E37</formula>
    </cfRule>
  </conditionalFormatting>
  <conditionalFormatting sqref="F40:F41">
    <cfRule type="expression" priority="37" dxfId="2">
      <formula>F40&gt;E40</formula>
    </cfRule>
    <cfRule type="expression" priority="38" dxfId="1">
      <formula>F40&lt;E40</formula>
    </cfRule>
  </conditionalFormatting>
  <conditionalFormatting sqref="F43:F44">
    <cfRule type="expression" priority="35" dxfId="2">
      <formula>F43&gt;E43</formula>
    </cfRule>
    <cfRule type="expression" priority="36" dxfId="1">
      <formula>F43&lt;E43</formula>
    </cfRule>
  </conditionalFormatting>
  <conditionalFormatting sqref="F60">
    <cfRule type="expression" priority="33" dxfId="2">
      <formula>F60&gt;E60</formula>
    </cfRule>
    <cfRule type="expression" priority="34" dxfId="1">
      <formula>F60&lt;E60</formula>
    </cfRule>
  </conditionalFormatting>
  <conditionalFormatting sqref="F61">
    <cfRule type="expression" priority="31" dxfId="2">
      <formula>F61&gt;E61</formula>
    </cfRule>
    <cfRule type="expression" priority="32" dxfId="1">
      <formula>F61&lt;E61</formula>
    </cfRule>
  </conditionalFormatting>
  <conditionalFormatting sqref="F57">
    <cfRule type="expression" priority="29" dxfId="2">
      <formula>F57&gt;E57</formula>
    </cfRule>
    <cfRule type="expression" priority="30" dxfId="1">
      <formula>F57&lt;E57</formula>
    </cfRule>
  </conditionalFormatting>
  <conditionalFormatting sqref="F67">
    <cfRule type="expression" priority="27" dxfId="2">
      <formula>F67&gt;E67</formula>
    </cfRule>
    <cfRule type="expression" priority="28" dxfId="1">
      <formula>F67&lt;E67</formula>
    </cfRule>
  </conditionalFormatting>
  <conditionalFormatting sqref="F55">
    <cfRule type="expression" priority="25" dxfId="2">
      <formula>F55&gt;E55</formula>
    </cfRule>
    <cfRule type="expression" priority="26" dxfId="1">
      <formula>F55&lt;E55</formula>
    </cfRule>
  </conditionalFormatting>
  <conditionalFormatting sqref="F59">
    <cfRule type="expression" priority="23" dxfId="2">
      <formula>F59&gt;E59</formula>
    </cfRule>
    <cfRule type="expression" priority="24" dxfId="1">
      <formula>F59&lt;E59</formula>
    </cfRule>
  </conditionalFormatting>
  <conditionalFormatting sqref="F65">
    <cfRule type="expression" priority="21" dxfId="2">
      <formula>F65&gt;E65</formula>
    </cfRule>
    <cfRule type="expression" priority="22" dxfId="1">
      <formula>F65&lt;E65</formula>
    </cfRule>
  </conditionalFormatting>
  <conditionalFormatting sqref="F81">
    <cfRule type="expression" priority="19" dxfId="2">
      <formula>F81&gt;E81</formula>
    </cfRule>
    <cfRule type="expression" priority="20" dxfId="1">
      <formula>F81&lt;E81</formula>
    </cfRule>
  </conditionalFormatting>
  <conditionalFormatting sqref="F82">
    <cfRule type="expression" priority="17" dxfId="2">
      <formula>F82&gt;E82</formula>
    </cfRule>
    <cfRule type="expression" priority="18" dxfId="1">
      <formula>F82&lt;E82</formula>
    </cfRule>
  </conditionalFormatting>
  <conditionalFormatting sqref="F84:F85">
    <cfRule type="expression" priority="15" dxfId="2">
      <formula>F84&gt;E84</formula>
    </cfRule>
    <cfRule type="expression" priority="16" dxfId="1">
      <formula>F84&lt;E84</formula>
    </cfRule>
  </conditionalFormatting>
  <conditionalFormatting sqref="F89:F90">
    <cfRule type="expression" priority="13" dxfId="2">
      <formula>F89&gt;E89</formula>
    </cfRule>
    <cfRule type="expression" priority="14" dxfId="1">
      <formula>F89&lt;E89</formula>
    </cfRule>
  </conditionalFormatting>
  <conditionalFormatting sqref="F92:F93">
    <cfRule type="expression" priority="11" dxfId="2">
      <formula>F92&gt;E92</formula>
    </cfRule>
    <cfRule type="expression" priority="12" dxfId="1">
      <formula>F92&lt;E92</formula>
    </cfRule>
  </conditionalFormatting>
  <conditionalFormatting sqref="F95:F96">
    <cfRule type="expression" priority="9" dxfId="2">
      <formula>F95&gt;E95</formula>
    </cfRule>
    <cfRule type="expression" priority="10" dxfId="1">
      <formula>F95&lt;E95</formula>
    </cfRule>
  </conditionalFormatting>
  <conditionalFormatting sqref="F98:F99">
    <cfRule type="expression" priority="7" dxfId="2">
      <formula>F98&gt;E98</formula>
    </cfRule>
    <cfRule type="expression" priority="8" dxfId="1">
      <formula>F98&lt;E98</formula>
    </cfRule>
  </conditionalFormatting>
  <conditionalFormatting sqref="F121">
    <cfRule type="expression" priority="5" dxfId="2">
      <formula>F121&gt;E121</formula>
    </cfRule>
    <cfRule type="expression" priority="6" dxfId="1">
      <formula>F121&lt;E121</formula>
    </cfRule>
  </conditionalFormatting>
  <conditionalFormatting sqref="F125">
    <cfRule type="expression" priority="3" dxfId="2">
      <formula>F125&gt;E125</formula>
    </cfRule>
    <cfRule type="expression" priority="4" dxfId="1">
      <formula>F125&lt;E125</formula>
    </cfRule>
  </conditionalFormatting>
  <conditionalFormatting sqref="F131">
    <cfRule type="expression" priority="1" dxfId="2">
      <formula>F131&gt;E131</formula>
    </cfRule>
    <cfRule type="expression" priority="2" dxfId="1">
      <formula>F131&lt;E131</formula>
    </cfRule>
  </conditionalFormatting>
  <pageMargins left="0.7" right="0.7" top="0.75" bottom="0.75" header="0.3" footer="0.3"/>
  <pageSetup orientation="portrait" paperSize="8" scale="57" fitToHeight="0" verticalDpi="300"/>
  <rowBreaks count="1" manualBreakCount="1">
    <brk id="165" min="1" max="8" man="1"/>
  </rowBreaks>
</worksheet>
</file>

<file path=xl/worksheets/sheet5.xml><?xml version="1.0" encoding="utf-8"?>
<worksheet xmlns="http://schemas.openxmlformats.org/spreadsheetml/2006/main">
  <sheetPr codeName="Лист5">
    <tabColor rgb="FF00B050"/>
    <outlinePr summaryBelow="1" summaryRight="1"/>
    <pageSetUpPr/>
  </sheetPr>
  <dimension ref="A1:AX215"/>
  <sheetViews>
    <sheetView showGridLines="0" zoomScale="70" zoomScaleNormal="70" workbookViewId="0">
      <selection activeCell="R41" sqref="R41"/>
    </sheetView>
  </sheetViews>
  <sheetFormatPr baseColWidth="10" defaultColWidth="8.83203125" defaultRowHeight="15"/>
  <cols>
    <col width="1.6640625" customWidth="1" min="1" max="1"/>
    <col width="13.5" customWidth="1" style="562" min="2" max="2"/>
    <col width="11.6640625" customWidth="1" style="562" min="3" max="3"/>
    <col width="2" customWidth="1" min="4" max="5"/>
    <col width="4.5" customWidth="1" min="6" max="6"/>
    <col width="12.33203125" customWidth="1" min="7" max="7"/>
    <col width="12.33203125" customWidth="1" style="1" min="8" max="8"/>
    <col width="2.33203125" customWidth="1" min="9" max="10"/>
    <col width="1.6640625" customWidth="1" min="11" max="11"/>
    <col width="13.33203125" customWidth="1" min="12" max="12"/>
    <col width="13.33203125" customWidth="1" style="1" min="13" max="13"/>
    <col width="1" customWidth="1" min="14" max="14"/>
    <col width="4.83203125" customWidth="1" min="15" max="15"/>
    <col width="2.6640625" customWidth="1" min="16" max="16"/>
    <col width="13.33203125" customWidth="1" min="17" max="17"/>
    <col width="13.33203125" customWidth="1" style="1" min="18" max="18"/>
    <col width="2.33203125" customWidth="1" min="19" max="21"/>
    <col width="13.33203125" customWidth="1" min="22" max="22"/>
    <col width="13.33203125" customWidth="1" style="1" min="23" max="23"/>
    <col width="2.33203125" customWidth="1" min="24" max="26"/>
    <col width="13.33203125" customWidth="1" min="27" max="27"/>
    <col width="13.33203125" customWidth="1" style="1" min="28" max="28"/>
    <col width="2" customWidth="1" min="29" max="31"/>
    <col width="13.33203125" customWidth="1" min="32" max="33"/>
    <col width="2.33203125" customWidth="1" min="34" max="36"/>
    <col width="13.33203125" customWidth="1" min="37" max="38"/>
    <col width="2.6640625" customWidth="1" min="39" max="39"/>
  </cols>
  <sheetData>
    <row r="1" ht="19" customHeight="1">
      <c r="AB1" s="471">
        <f>'Чек-лист'!K1</f>
        <v/>
      </c>
      <c r="AF1" s="632" t="inlineStr">
        <is>
          <t>Приложение №2</t>
        </is>
      </c>
      <c r="AK1" s="471" t="n"/>
    </row>
    <row r="2" ht="17" customHeight="1" thickBot="1">
      <c r="B2" s="163" t="inlineStr">
        <is>
          <t xml:space="preserve">Вводные: </t>
        </is>
      </c>
      <c r="AC2" s="1" t="n"/>
    </row>
    <row r="3" ht="28.25" customHeight="1">
      <c r="B3" s="164" t="inlineStr">
        <is>
          <t>До проекта</t>
        </is>
      </c>
      <c r="C3" s="633" t="inlineStr">
        <is>
          <t>1. Объем реализации до = Объем производства до</t>
        </is>
      </c>
      <c r="V3" s="586" t="inlineStr">
        <is>
          <t>МП1.1.1</t>
        </is>
      </c>
      <c r="W3" s="741" t="n"/>
      <c r="AB3" s="742" t="inlineStr">
        <is>
          <t>Директор УП</t>
        </is>
      </c>
      <c r="AC3" s="667" t="n"/>
      <c r="AD3" s="742" t="inlineStr">
        <is>
          <t>Директор по управлению персоналом</t>
        </is>
      </c>
      <c r="AE3" s="675" t="n"/>
      <c r="AF3" s="675" t="n"/>
      <c r="AG3" s="675" t="n"/>
      <c r="AH3" s="667" t="n"/>
      <c r="AM3" s="562" t="n"/>
    </row>
    <row r="4" ht="28.25" customHeight="1">
      <c r="B4" s="164" t="n"/>
      <c r="C4" s="633" t="inlineStr">
        <is>
          <t>2. Объем реализции имеет потенциал к увеличению, т.к. спрос превосходит возможности производства</t>
        </is>
      </c>
      <c r="V4" s="743" t="inlineStr">
        <is>
          <t>Объем производства</t>
        </is>
      </c>
      <c r="W4" s="744" t="n"/>
      <c r="AB4" s="742" t="inlineStr">
        <is>
          <t>Начальник ПЭО</t>
        </is>
      </c>
      <c r="AC4" s="667" t="n"/>
      <c r="AD4" s="742" t="inlineStr">
        <is>
          <t>Начальник До проектаово-экономической службы</t>
        </is>
      </c>
      <c r="AE4" s="675" t="n"/>
      <c r="AF4" s="675" t="n"/>
      <c r="AG4" s="675" t="n"/>
      <c r="AH4" s="667" t="n"/>
      <c r="AM4" s="213" t="n"/>
    </row>
    <row r="5" ht="23" customHeight="1" thickBot="1">
      <c r="B5" s="164" t="inlineStr">
        <is>
          <t>После проекта</t>
        </is>
      </c>
      <c r="C5" s="633" t="inlineStr">
        <is>
          <t>1. Если спрос превышает возможности объема производства, то объем реализации равен объему производства, потенциального эффекта нет</t>
        </is>
      </c>
      <c r="V5" s="745" t="inlineStr">
        <is>
          <t>ед.прод.</t>
        </is>
      </c>
      <c r="W5" s="744" t="n"/>
      <c r="X5" s="591" t="n"/>
      <c r="AB5" s="742" t="inlineStr">
        <is>
          <t>Начальник ОС</t>
        </is>
      </c>
      <c r="AC5" s="667" t="n"/>
      <c r="AD5" s="742" t="inlineStr">
        <is>
          <t>Начальник отдела снабжения</t>
        </is>
      </c>
      <c r="AE5" s="675" t="n"/>
      <c r="AF5" s="675" t="n"/>
      <c r="AG5" s="675" t="n"/>
      <c r="AH5" s="667" t="n"/>
      <c r="AM5" s="562" t="n"/>
    </row>
    <row r="6" ht="28.25" customHeight="1" thickBot="1">
      <c r="U6" s="34" t="n"/>
      <c r="V6" s="83" t="inlineStr">
        <is>
          <t>Начальник ПЭО</t>
        </is>
      </c>
      <c r="W6" s="84" t="inlineStr">
        <is>
          <t>Директор по производству</t>
        </is>
      </c>
      <c r="AB6" s="640" t="inlineStr">
        <is>
          <t>Начальник ОТОиР</t>
        </is>
      </c>
      <c r="AC6" s="746" t="n"/>
      <c r="AD6" s="640" t="inlineStr">
        <is>
          <t>Начальник отдела технического обслуживания и ремонтов</t>
        </is>
      </c>
      <c r="AE6" s="747" t="n"/>
      <c r="AF6" s="747" t="n"/>
      <c r="AG6" s="747" t="n"/>
      <c r="AH6" s="746" t="n"/>
      <c r="AM6" s="562" t="n"/>
    </row>
    <row r="7" ht="14" customHeight="1" thickTop="1">
      <c r="C7" s="633" t="inlineStr">
        <is>
          <t>2. Если возможности производства выше спроса, тогда увеличение Объема реализации - это прямой эффект, а разница между возможным объемом производства после и объемом реализации после - это потенциальный эффект</t>
        </is>
      </c>
      <c r="Q7" s="748" t="inlineStr">
        <is>
          <t>МП1.1</t>
        </is>
      </c>
      <c r="R7" s="749" t="n"/>
      <c r="U7" s="35" t="n"/>
      <c r="V7" s="83" t="inlineStr">
        <is>
          <t>До проекта</t>
        </is>
      </c>
      <c r="W7" s="84" t="inlineStr">
        <is>
          <t>После проекта</t>
        </is>
      </c>
      <c r="X7" s="4" t="n"/>
      <c r="Y7" s="4" t="n"/>
      <c r="Z7" s="4" t="n"/>
      <c r="AB7" s="750" t="n"/>
      <c r="AC7" s="751" t="n"/>
      <c r="AD7" s="750" t="n"/>
      <c r="AE7" s="752" t="n"/>
      <c r="AF7" s="752" t="n"/>
      <c r="AG7" s="752" t="n"/>
      <c r="AH7" s="751" t="n"/>
      <c r="AM7" s="562" t="n"/>
    </row>
    <row r="8" ht="22.25" customHeight="1" thickBot="1">
      <c r="Q8" s="753" t="inlineStr">
        <is>
          <t>Объем реализации</t>
        </is>
      </c>
      <c r="R8" s="754" t="n"/>
      <c r="S8" s="4" t="n"/>
      <c r="T8" s="4" t="n"/>
      <c r="U8" s="35" t="n"/>
      <c r="V8" s="79">
        <f>IFERROR(VLOOKUP(V3,'Экономический эффект'!$B$9:$F$179,4,FALSE),"0")</f>
        <v/>
      </c>
      <c r="W8" s="80">
        <f>IFERROR(VLOOKUP(V3,'Экономический эффект'!$B$9:$F$179,5,FALSE),"0")</f>
        <v/>
      </c>
      <c r="X8" s="4" t="n"/>
      <c r="Y8" s="4" t="n"/>
      <c r="Z8" s="4" t="n"/>
      <c r="AC8" s="1" t="n"/>
      <c r="AM8" s="49" t="n"/>
    </row>
    <row r="9" ht="22.25" customHeight="1" thickBot="1" thickTop="1">
      <c r="Q9" s="755" t="inlineStr">
        <is>
          <t>ед.прод.</t>
        </is>
      </c>
      <c r="R9" s="754" t="n"/>
      <c r="S9" s="756" t="inlineStr">
        <is>
          <t>=</t>
        </is>
      </c>
      <c r="T9" s="757" t="n"/>
      <c r="U9" s="35" t="n"/>
      <c r="V9" s="103" t="inlineStr">
        <is>
          <t>Эффект</t>
        </is>
      </c>
      <c r="W9" s="104">
        <f>W8-V8</f>
        <v/>
      </c>
      <c r="X9" s="4" t="n"/>
      <c r="Y9" s="4" t="n"/>
      <c r="Z9" s="4" t="n"/>
      <c r="AC9" s="1" t="n"/>
      <c r="AM9" s="50" t="n"/>
    </row>
    <row r="10" ht="25.25" customHeight="1" thickBot="1" thickTop="1">
      <c r="P10" s="5" t="n"/>
      <c r="Q10" s="96" t="inlineStr">
        <is>
          <t>Начальник ПЭО</t>
        </is>
      </c>
      <c r="R10" s="97" t="inlineStr">
        <is>
          <t>Начальник отдела продаж</t>
        </is>
      </c>
      <c r="S10" s="13" t="n"/>
      <c r="T10" s="11" t="n"/>
      <c r="U10" s="35" t="n"/>
      <c r="V10" s="590" t="inlineStr">
        <is>
          <t>-</t>
        </is>
      </c>
      <c r="W10" s="758" t="n"/>
      <c r="X10" s="4" t="n"/>
      <c r="Y10" s="4" t="n"/>
      <c r="Z10" s="4" t="n"/>
      <c r="AC10" s="1" t="n"/>
      <c r="AM10" s="50" t="n"/>
    </row>
    <row r="11" ht="14.75" customHeight="1" thickTop="1">
      <c r="L11" s="748" t="inlineStr">
        <is>
          <t>МП1</t>
        </is>
      </c>
      <c r="M11" s="749" t="n"/>
      <c r="P11" s="6" t="n"/>
      <c r="Q11" s="96" t="inlineStr">
        <is>
          <t>До проекта</t>
        </is>
      </c>
      <c r="R11" s="97" t="inlineStr">
        <is>
          <t>После проекта</t>
        </is>
      </c>
      <c r="S11" s="14" t="n"/>
      <c r="T11" s="4" t="n"/>
      <c r="U11" s="35" t="n"/>
      <c r="V11" s="759" t="inlineStr">
        <is>
          <t>МП1.1.2</t>
        </is>
      </c>
      <c r="W11" s="760" t="n"/>
      <c r="X11" s="4" t="n"/>
      <c r="Y11" s="4" t="n"/>
      <c r="Z11" s="4" t="n"/>
      <c r="AA11" t="inlineStr">
        <is>
          <t xml:space="preserve">  </t>
        </is>
      </c>
    </row>
    <row r="12" ht="26.75" customHeight="1" thickBot="1">
      <c r="L12" s="753" t="inlineStr">
        <is>
          <t>Выручка</t>
        </is>
      </c>
      <c r="M12" s="754" t="n"/>
      <c r="P12" s="6" t="n"/>
      <c r="Q12" s="63">
        <f>IFERROR(VLOOKUP(Q7,'Экономический эффект'!$B$9:$F$179,4,FALSE),"0")</f>
        <v/>
      </c>
      <c r="R12" s="64">
        <f>IFERROR(VLOOKUP(Q7,'Экономический эффект'!$B$9:$F$179,5,FALSE),"0")</f>
        <v/>
      </c>
      <c r="S12" s="4" t="n"/>
      <c r="T12" s="4" t="n"/>
      <c r="U12" s="35" t="n"/>
      <c r="V12" s="743" t="inlineStr">
        <is>
          <t>Изменение остатка готовой продукции</t>
        </is>
      </c>
      <c r="W12" s="744" t="n"/>
      <c r="X12" s="4" t="n"/>
      <c r="Y12" s="4" t="n"/>
      <c r="Z12" s="4" t="n"/>
    </row>
    <row r="13" ht="23" customHeight="1" thickBot="1" thickTop="1">
      <c r="L13" s="755" t="inlineStr">
        <is>
          <t>руб.</t>
        </is>
      </c>
      <c r="M13" s="754" t="n"/>
      <c r="N13" s="14" t="n"/>
      <c r="O13" s="227" t="inlineStr">
        <is>
          <t>=</t>
        </is>
      </c>
      <c r="P13" s="6" t="n"/>
      <c r="Q13" s="103" t="inlineStr">
        <is>
          <t>Эффект</t>
        </is>
      </c>
      <c r="R13" s="104">
        <f>R12-Q12</f>
        <v/>
      </c>
      <c r="U13" s="36" t="n"/>
      <c r="V13" s="745" t="inlineStr">
        <is>
          <t>ед.прод.</t>
        </is>
      </c>
      <c r="W13" s="744" t="n"/>
    </row>
    <row r="14" ht="24" customHeight="1" thickBot="1" thickTop="1">
      <c r="K14" s="5" t="n"/>
      <c r="L14" s="96" t="inlineStr">
        <is>
          <t>Директор по экономике</t>
        </is>
      </c>
      <c r="M14" s="97" t="inlineStr">
        <is>
          <t>Коммерческий директор</t>
        </is>
      </c>
      <c r="N14" s="14" t="n"/>
      <c r="O14" s="9" t="n"/>
      <c r="P14" s="6" t="n"/>
      <c r="Q14" s="599" t="inlineStr">
        <is>
          <t>х</t>
        </is>
      </c>
      <c r="R14" s="761" t="n"/>
      <c r="V14" s="83" t="inlineStr">
        <is>
          <t>Начальник ПЭО</t>
        </is>
      </c>
      <c r="W14" s="84" t="inlineStr">
        <is>
          <t>Начальник отдела продаж</t>
        </is>
      </c>
    </row>
    <row r="15" ht="15" customHeight="1" thickTop="1">
      <c r="K15" s="6" t="n"/>
      <c r="L15" s="96" t="inlineStr">
        <is>
          <t>До проекта</t>
        </is>
      </c>
      <c r="M15" s="97" t="inlineStr">
        <is>
          <t>После проекта</t>
        </is>
      </c>
      <c r="P15" s="6" t="n"/>
      <c r="Q15" s="748" t="inlineStr">
        <is>
          <t>МП1.2</t>
        </is>
      </c>
      <c r="R15" s="749" t="n"/>
      <c r="V15" s="83" t="inlineStr">
        <is>
          <t>До проекта</t>
        </is>
      </c>
      <c r="W15" s="84" t="inlineStr">
        <is>
          <t>После проекта</t>
        </is>
      </c>
    </row>
    <row r="16" ht="15" customHeight="1" thickBot="1">
      <c r="K16" s="6" t="n"/>
      <c r="L16" s="63">
        <f>IFERROR(VLOOKUP(L11,'Экономический эффект'!$B$9:$F$179,4,FALSE),"0")</f>
        <v/>
      </c>
      <c r="M16" s="64">
        <f>IFERROR(VLOOKUP(L11,'Экономический эффект'!$B$9:$F$179,5,FALSE),"0")</f>
        <v/>
      </c>
      <c r="P16" s="6" t="n"/>
      <c r="Q16" s="753" t="inlineStr">
        <is>
          <t>Цена реализации</t>
        </is>
      </c>
      <c r="R16" s="754" t="n"/>
      <c r="V16" s="161">
        <f>VLOOKUP(V11,'Экономический эффект'!$B$9:$F$179,4,FALSE)</f>
        <v/>
      </c>
      <c r="W16" s="162">
        <f>VLOOKUP(V11,'Экономический эффект'!$B$9:$F$179,5,FALSE)</f>
        <v/>
      </c>
    </row>
    <row r="17" ht="15.5" customHeight="1" thickBot="1" thickTop="1">
      <c r="K17" s="6" t="n"/>
      <c r="L17" s="103" t="inlineStr">
        <is>
          <t>Эффект</t>
        </is>
      </c>
      <c r="M17" s="104">
        <f>M16-L16</f>
        <v/>
      </c>
      <c r="P17" s="7" t="n"/>
      <c r="Q17" s="755" t="inlineStr">
        <is>
          <t>руб.</t>
        </is>
      </c>
      <c r="R17" s="754" t="n"/>
      <c r="V17" s="159" t="inlineStr">
        <is>
          <t>Эффект</t>
        </is>
      </c>
      <c r="W17" s="160" t="n"/>
    </row>
    <row r="18" ht="25.25" customHeight="1" thickTop="1">
      <c r="K18" s="6" t="n"/>
      <c r="L18" s="599" t="inlineStr">
        <is>
          <t>-</t>
        </is>
      </c>
      <c r="M18" s="223" t="n"/>
      <c r="Q18" s="96" t="inlineStr">
        <is>
          <t>Начальник ПЭО</t>
        </is>
      </c>
      <c r="R18" s="97" t="inlineStr">
        <is>
          <t>Начальник отдела продаж</t>
        </is>
      </c>
    </row>
    <row r="19" ht="18.5" customHeight="1">
      <c r="K19" s="6" t="n"/>
      <c r="Q19" s="96" t="inlineStr">
        <is>
          <t>До проекта</t>
        </is>
      </c>
      <c r="R19" s="97" t="inlineStr">
        <is>
          <t>После проекта</t>
        </is>
      </c>
    </row>
    <row r="20" ht="18.5" customHeight="1" thickBot="1">
      <c r="K20" s="6" t="n"/>
      <c r="Q20" s="63">
        <f>VLOOKUP(Q15,'Экономический эффект'!$B$9:$F$179,4,FALSE)</f>
        <v/>
      </c>
      <c r="R20" s="64">
        <f>VLOOKUP(Q15,'Экономический эффект'!$B$9:$F$179,5,FALSE)</f>
        <v/>
      </c>
      <c r="AA20" s="762" t="n"/>
    </row>
    <row r="21" ht="14.75" customHeight="1" thickBot="1" thickTop="1">
      <c r="K21" s="6" t="n"/>
      <c r="Q21" s="103" t="inlineStr">
        <is>
          <t>Эффект</t>
        </is>
      </c>
      <c r="R21" s="104">
        <f>R20-Q20</f>
        <v/>
      </c>
      <c r="AA21" s="762" t="n"/>
      <c r="AB21" s="762" t="n"/>
    </row>
    <row r="22" ht="14.75" customHeight="1" thickTop="1">
      <c r="K22" s="6" t="n"/>
      <c r="Q22" s="4" t="n"/>
      <c r="R22" s="4" t="n"/>
      <c r="V22" s="562" t="n"/>
      <c r="W22" s="562" t="n"/>
      <c r="AA22" s="759" t="inlineStr">
        <is>
          <t>МП2.1.1</t>
        </is>
      </c>
      <c r="AB22" s="760" t="n"/>
      <c r="AF22" s="762" t="n"/>
      <c r="AG22" s="762" t="n"/>
      <c r="AK22" s="562" t="n"/>
      <c r="AL22" s="562" t="n"/>
      <c r="AM22" s="562" t="n"/>
    </row>
    <row r="23" ht="26.75" customHeight="1">
      <c r="K23" s="6" t="n"/>
      <c r="Q23" s="4" t="n"/>
      <c r="R23" s="4" t="n"/>
      <c r="V23" s="562" t="n"/>
      <c r="W23" s="562" t="n"/>
      <c r="AA23" s="743" t="inlineStr">
        <is>
          <t>Норма потребления</t>
        </is>
      </c>
      <c r="AB23" s="744" t="n"/>
      <c r="AF23" s="213" t="n"/>
      <c r="AG23" s="213" t="n"/>
      <c r="AK23" s="213" t="n"/>
      <c r="AL23" s="213" t="n"/>
      <c r="AM23" s="213" t="n"/>
    </row>
    <row r="24" ht="24" customHeight="1" thickBot="1">
      <c r="K24" s="6" t="n"/>
      <c r="Q24" s="4" t="n"/>
      <c r="R24" s="4" t="n"/>
      <c r="V24" s="562" t="n"/>
      <c r="W24" s="562" t="n"/>
      <c r="AA24" s="745" t="inlineStr">
        <is>
          <t>ед.сырья/ед.прод.</t>
        </is>
      </c>
      <c r="AB24" s="744" t="n"/>
      <c r="AC24" s="591" t="n"/>
      <c r="AD24" s="537" t="n"/>
      <c r="AE24" s="537" t="n"/>
      <c r="AF24" s="562" t="n"/>
      <c r="AG24" s="562" t="n"/>
      <c r="AH24" s="537" t="n"/>
      <c r="AI24" s="537" t="n"/>
      <c r="AJ24" s="537" t="n"/>
      <c r="AK24" s="562" t="n"/>
      <c r="AL24" s="562" t="n"/>
      <c r="AM24" s="562" t="n"/>
    </row>
    <row r="25" ht="25" customHeight="1" thickBot="1">
      <c r="K25" s="6" t="n"/>
      <c r="Q25" s="4" t="n"/>
      <c r="R25" s="4" t="n"/>
      <c r="Z25" s="34" t="n"/>
      <c r="AA25" s="83" t="inlineStr">
        <is>
          <t>Главный технолог</t>
        </is>
      </c>
      <c r="AB25" s="84" t="inlineStr">
        <is>
          <t>Начальник цеха</t>
        </is>
      </c>
      <c r="AF25" s="562" t="n"/>
      <c r="AG25" s="562" t="n"/>
      <c r="AK25" s="562" t="n"/>
      <c r="AL25" s="562" t="n"/>
      <c r="AM25" s="562" t="n"/>
    </row>
    <row r="26" ht="15" customHeight="1" thickTop="1">
      <c r="G26" s="748" t="inlineStr">
        <is>
          <t>МП</t>
        </is>
      </c>
      <c r="H26" s="749" t="n"/>
      <c r="K26" s="6" t="n"/>
      <c r="Q26" s="4" t="n"/>
      <c r="R26" s="4" t="n"/>
      <c r="V26" s="759" t="inlineStr">
        <is>
          <t>МП2.1</t>
        </is>
      </c>
      <c r="W26" s="760" t="n"/>
      <c r="Z26" s="35" t="n"/>
      <c r="AA26" s="83" t="inlineStr">
        <is>
          <t>Норматив</t>
        </is>
      </c>
      <c r="AB26" s="84" t="inlineStr">
        <is>
          <t>После проекта</t>
        </is>
      </c>
      <c r="AF26" s="562" t="n"/>
      <c r="AG26" s="562" t="n"/>
      <c r="AK26" s="562" t="n"/>
      <c r="AL26" s="562" t="n"/>
      <c r="AM26" s="562" t="n"/>
    </row>
    <row r="27" ht="19.25" customHeight="1" thickBot="1">
      <c r="G27" s="753" t="inlineStr">
        <is>
          <t>Маржинальная прибыль</t>
        </is>
      </c>
      <c r="H27" s="754" t="n"/>
      <c r="K27" s="6" t="n"/>
      <c r="Q27" s="4" t="n"/>
      <c r="R27" s="4" t="n"/>
      <c r="V27" s="743" t="inlineStr">
        <is>
          <t>Сырье и материалы</t>
        </is>
      </c>
      <c r="W27" s="744" t="n"/>
      <c r="X27" s="4" t="n"/>
      <c r="Y27" s="4" t="n"/>
      <c r="Z27" s="35" t="n"/>
      <c r="AA27" s="129">
        <f>VLOOKUP(AA22,'Экономический эффект'!$B$9:$F$179,4,FALSE)</f>
        <v/>
      </c>
      <c r="AB27" s="130">
        <f>VLOOKUP(AA22,'Экономический эффект'!$B$9:$F$179,5,FALSE)</f>
        <v/>
      </c>
      <c r="AF27" s="49" t="n"/>
      <c r="AG27" s="49" t="n"/>
      <c r="AK27" s="49" t="n"/>
      <c r="AL27" s="763" t="n"/>
      <c r="AM27" s="562" t="n"/>
    </row>
    <row r="28" ht="26" customHeight="1" thickBot="1" thickTop="1">
      <c r="G28" s="755" t="inlineStr">
        <is>
          <t>руб.</t>
        </is>
      </c>
      <c r="H28" s="754" t="n"/>
      <c r="I28" s="764" t="inlineStr">
        <is>
          <t>=</t>
        </is>
      </c>
      <c r="J28" s="765" t="n"/>
      <c r="K28" s="6" t="n"/>
      <c r="Q28" s="4" t="n"/>
      <c r="R28" s="4" t="n"/>
      <c r="V28" s="745" t="inlineStr">
        <is>
          <t>руб./ед.прод.</t>
        </is>
      </c>
      <c r="W28" s="744" t="n"/>
      <c r="X28" s="641" t="inlineStr">
        <is>
          <t>=</t>
        </is>
      </c>
      <c r="Y28" s="594" t="n"/>
      <c r="Z28" s="35" t="n"/>
      <c r="AA28" s="766" t="inlineStr">
        <is>
          <t>Эффект</t>
        </is>
      </c>
      <c r="AB28" s="136">
        <f>AA27-AB27</f>
        <v/>
      </c>
      <c r="AG28" s="1" t="n"/>
    </row>
    <row r="29" ht="24" customHeight="1" thickBot="1" thickTop="1">
      <c r="F29" s="43" t="n"/>
      <c r="G29" s="755" t="inlineStr">
        <is>
          <t>Генеральный директор</t>
        </is>
      </c>
      <c r="H29" s="754" t="n"/>
      <c r="I29" s="8" t="n"/>
      <c r="J29" s="9" t="n"/>
      <c r="K29" s="6" t="n"/>
      <c r="Q29" s="4" t="n"/>
      <c r="R29" s="4" t="n"/>
      <c r="U29" s="5" t="n"/>
      <c r="V29" s="96" t="inlineStr">
        <is>
          <t>Главный инженер</t>
        </is>
      </c>
      <c r="W29" s="97" t="inlineStr">
        <is>
          <t>Директор по производству</t>
        </is>
      </c>
      <c r="X29" s="11" t="n"/>
      <c r="Y29" s="11" t="n"/>
      <c r="Z29" s="35" t="n"/>
      <c r="AA29" s="590" t="inlineStr">
        <is>
          <t>х</t>
        </is>
      </c>
      <c r="AB29" s="758" t="n"/>
      <c r="AG29" s="1" t="n"/>
    </row>
    <row r="30" ht="14.75" customHeight="1">
      <c r="F30" s="45" t="n"/>
      <c r="G30" s="96" t="inlineStr">
        <is>
          <t>До проекта</t>
        </is>
      </c>
      <c r="H30" s="97" t="inlineStr">
        <is>
          <t>После проекта</t>
        </is>
      </c>
      <c r="K30" s="6" t="n"/>
      <c r="Q30" s="4" t="n"/>
      <c r="R30" s="4" t="n"/>
      <c r="U30" s="6" t="n"/>
      <c r="V30" s="96" t="inlineStr">
        <is>
          <t>До проекта</t>
        </is>
      </c>
      <c r="W30" s="97" t="inlineStr">
        <is>
          <t>После проекта</t>
        </is>
      </c>
      <c r="X30" s="4" t="n"/>
      <c r="Y30" s="4" t="n"/>
      <c r="Z30" s="35" t="n"/>
      <c r="AA30" s="759" t="inlineStr">
        <is>
          <t>МП2.1.2</t>
        </is>
      </c>
      <c r="AB30" s="760" t="n"/>
      <c r="AF30" s="767" t="n"/>
      <c r="AG30" s="767" t="n"/>
      <c r="AK30" s="562" t="n"/>
      <c r="AL30" s="562" t="n"/>
      <c r="AM30" s="562" t="n"/>
    </row>
    <row r="31" ht="24" customHeight="1" thickBot="1">
      <c r="F31" s="45" t="n"/>
      <c r="G31" s="63">
        <f>IFERROR(VLOOKUP(G26,'Экономический эффект'!$B$9:$F$179,4,FALSE),"0")</f>
        <v/>
      </c>
      <c r="H31" s="64">
        <f>IFERROR(VLOOKUP(G26,'Экономический эффект'!$B$9:$F$179,5,FALSE),"0")</f>
        <v/>
      </c>
      <c r="K31" s="6" t="n"/>
      <c r="Q31" s="4" t="n"/>
      <c r="R31" s="4" t="n"/>
      <c r="U31" s="6" t="n"/>
      <c r="V31" s="63">
        <f>VLOOKUP(V26,'Экономический эффект'!$B$9:$F$179,4,FALSE)</f>
        <v/>
      </c>
      <c r="W31" s="64">
        <f>VLOOKUP(V26,'Экономический эффект'!$B$9:$F$179,5,FALSE)</f>
        <v/>
      </c>
      <c r="X31" s="4" t="n"/>
      <c r="Y31" s="4" t="n"/>
      <c r="Z31" s="35" t="n"/>
      <c r="AA31" s="743" t="inlineStr">
        <is>
          <t>Цена</t>
        </is>
      </c>
      <c r="AB31" s="744" t="n"/>
      <c r="AF31" s="767" t="n"/>
      <c r="AG31" s="767" t="n"/>
      <c r="AK31" s="213" t="n"/>
      <c r="AL31" s="213" t="n"/>
      <c r="AM31" s="213" t="n"/>
    </row>
    <row r="32" ht="24.5" customHeight="1" thickBot="1" thickTop="1">
      <c r="C32" s="768" t="n"/>
      <c r="F32" s="45" t="n"/>
      <c r="G32" s="613" t="inlineStr">
        <is>
          <t>Эффект</t>
        </is>
      </c>
      <c r="H32" s="615">
        <f>H31-G31</f>
        <v/>
      </c>
      <c r="K32" s="6" t="n"/>
      <c r="Q32" s="4" t="n"/>
      <c r="R32" s="4" t="n"/>
      <c r="U32" s="6" t="n"/>
      <c r="V32" s="103" t="inlineStr">
        <is>
          <t>Эффект</t>
        </is>
      </c>
      <c r="W32" s="104">
        <f>V31-W31</f>
        <v/>
      </c>
      <c r="Z32" s="36" t="n"/>
      <c r="AA32" s="745" t="inlineStr">
        <is>
          <t>руб./ед.сырья</t>
        </is>
      </c>
      <c r="AB32" s="744" t="n"/>
      <c r="AC32" s="591" t="n"/>
      <c r="AD32" s="537" t="n"/>
      <c r="AE32" s="537" t="n"/>
      <c r="AF32" s="767" t="n"/>
      <c r="AG32" s="767" t="n"/>
      <c r="AH32" s="537" t="n"/>
      <c r="AI32" s="537" t="n"/>
      <c r="AJ32" s="537" t="n"/>
      <c r="AK32" s="562" t="n"/>
      <c r="AL32" s="562" t="n"/>
      <c r="AM32" s="562" t="n"/>
    </row>
    <row r="33" ht="27.5" customHeight="1" thickBot="1" thickTop="1">
      <c r="F33" s="45" t="n"/>
      <c r="G33" s="178" t="inlineStr">
        <is>
          <t>Потенциальный эффект</t>
        </is>
      </c>
      <c r="H33" s="179">
        <f>'Экономический эффект'!G13</f>
        <v/>
      </c>
      <c r="K33" s="6" t="n"/>
      <c r="Q33" s="4" t="n"/>
      <c r="R33" s="4" t="n"/>
      <c r="U33" s="6" t="n"/>
      <c r="V33" s="599" t="inlineStr">
        <is>
          <t>+</t>
        </is>
      </c>
      <c r="W33" s="223" t="n"/>
      <c r="AA33" s="83" t="inlineStr">
        <is>
          <t>Начальник ПЭО</t>
        </is>
      </c>
      <c r="AB33" s="84" t="inlineStr">
        <is>
          <t>Начальник ОС</t>
        </is>
      </c>
      <c r="AF33" s="562" t="n"/>
      <c r="AG33" s="562" t="n"/>
      <c r="AK33" s="562" t="n"/>
      <c r="AL33" s="562" t="n"/>
      <c r="AM33" s="562" t="n"/>
    </row>
    <row r="34" ht="15.5" customHeight="1" thickTop="1">
      <c r="F34" s="45" t="n"/>
      <c r="G34" s="769" t="inlineStr">
        <is>
          <t>-</t>
        </is>
      </c>
      <c r="H34" s="770" t="n"/>
      <c r="K34" s="6" t="n"/>
      <c r="Q34" s="4" t="n"/>
      <c r="R34" s="4" t="n"/>
      <c r="U34" s="6" t="n"/>
      <c r="AA34" s="83" t="inlineStr">
        <is>
          <t>До проекта</t>
        </is>
      </c>
      <c r="AB34" s="84" t="inlineStr">
        <is>
          <t>После проекта</t>
        </is>
      </c>
      <c r="AF34" s="562" t="n"/>
      <c r="AG34" s="562" t="n"/>
      <c r="AK34" s="562" t="n"/>
      <c r="AL34" s="562" t="n"/>
      <c r="AM34" s="562" t="n"/>
    </row>
    <row r="35" ht="15.5" customHeight="1" thickBot="1">
      <c r="F35" s="45" t="n"/>
      <c r="K35" s="6" t="n"/>
      <c r="Q35" s="4" t="n"/>
      <c r="R35" s="4" t="n"/>
      <c r="U35" s="6" t="n"/>
      <c r="AA35" s="129">
        <f>VLOOKUP(AA30,'Экономический эффект'!$B$9:$F$179,4,FALSE)</f>
        <v/>
      </c>
      <c r="AB35" s="130">
        <f>VLOOKUP(AA30,'Экономический эффект'!$B$9:$F$179,5,FALSE)</f>
        <v/>
      </c>
      <c r="AF35" s="99" t="n"/>
      <c r="AG35" s="99" t="n"/>
      <c r="AH35" s="100" t="n"/>
      <c r="AI35" s="100" t="n"/>
      <c r="AJ35" s="100" t="n"/>
      <c r="AK35" s="99" t="n"/>
      <c r="AL35" s="99" t="n"/>
      <c r="AM35" s="562" t="n"/>
    </row>
    <row r="36" ht="15.5" customHeight="1" thickBot="1" thickTop="1">
      <c r="F36" s="45" t="n"/>
      <c r="K36" s="6" t="n"/>
      <c r="Q36" s="4" t="n"/>
      <c r="R36" s="4" t="n"/>
      <c r="U36" s="6" t="n"/>
      <c r="AA36" s="103" t="inlineStr">
        <is>
          <t>Эффект</t>
        </is>
      </c>
      <c r="AB36" s="136">
        <f>AB35-AA35</f>
        <v/>
      </c>
      <c r="AF36" s="99" t="n"/>
      <c r="AG36" s="99" t="n"/>
      <c r="AH36" s="100" t="n"/>
      <c r="AI36" s="100" t="n"/>
      <c r="AJ36" s="100" t="n"/>
      <c r="AK36" s="99" t="n"/>
      <c r="AL36" s="99" t="n"/>
      <c r="AM36" s="562" t="n"/>
    </row>
    <row r="37" ht="15.5" customHeight="1" thickBot="1" thickTop="1">
      <c r="F37" s="45" t="n"/>
      <c r="K37" s="6" t="n"/>
      <c r="L37" s="225" t="n"/>
      <c r="M37" s="225" t="n"/>
      <c r="Q37" s="222" t="n"/>
      <c r="R37" s="222" t="n"/>
      <c r="U37" s="6" t="n"/>
      <c r="V37" s="225" t="n"/>
      <c r="W37" s="225" t="n"/>
      <c r="AG37" s="1" t="n"/>
    </row>
    <row r="38" ht="15" customHeight="1" thickTop="1">
      <c r="F38" s="45" t="n"/>
      <c r="K38" s="6" t="n"/>
      <c r="L38" s="748" t="inlineStr">
        <is>
          <t>МП2</t>
        </is>
      </c>
      <c r="M38" s="749" t="n"/>
      <c r="Q38" s="748" t="inlineStr">
        <is>
          <t>МП2.0</t>
        </is>
      </c>
      <c r="R38" s="749" t="n"/>
      <c r="U38" s="6" t="n"/>
      <c r="V38" s="759" t="inlineStr">
        <is>
          <t>МП2.2</t>
        </is>
      </c>
      <c r="W38" s="760" t="n"/>
      <c r="Z38" s="4" t="n"/>
      <c r="AA38" s="759" t="inlineStr">
        <is>
          <t>МП2.2.1</t>
        </is>
      </c>
      <c r="AB38" s="760" t="n"/>
      <c r="AC38" s="4" t="n"/>
      <c r="AD38" s="4" t="n"/>
      <c r="AE38" s="4" t="n"/>
      <c r="AF38" s="759" t="inlineStr">
        <is>
          <t>МП2.2.2</t>
        </is>
      </c>
      <c r="AG38" s="760" t="n"/>
      <c r="AH38" s="4" t="n"/>
      <c r="AI38" s="4" t="n"/>
      <c r="AJ38" s="4" t="n"/>
      <c r="AK38" s="759" t="inlineStr">
        <is>
          <t>МП2.2.3</t>
        </is>
      </c>
      <c r="AL38" s="760" t="n"/>
      <c r="AM38" s="32" t="n"/>
    </row>
    <row r="39" ht="26" customHeight="1">
      <c r="F39" s="45" t="n"/>
      <c r="K39" s="6" t="n"/>
      <c r="L39" s="753" t="inlineStr">
        <is>
          <t>Переменные расходы</t>
        </is>
      </c>
      <c r="M39" s="754" t="n"/>
      <c r="Q39" s="753" t="inlineStr">
        <is>
          <t>Уд. Переменные расходы</t>
        </is>
      </c>
      <c r="R39" s="754" t="n"/>
      <c r="U39" s="6" t="n"/>
      <c r="V39" s="743" t="inlineStr">
        <is>
          <t>ФОТ и социальные отчисления</t>
        </is>
      </c>
      <c r="W39" s="744" t="n"/>
      <c r="X39" s="4" t="n"/>
      <c r="Y39" s="4" t="n"/>
      <c r="Z39" s="4" t="n"/>
      <c r="AA39" s="743" t="inlineStr">
        <is>
          <t>Трудоемкость</t>
        </is>
      </c>
      <c r="AB39" s="744" t="n"/>
      <c r="AC39" s="4" t="n"/>
      <c r="AD39" s="4" t="n"/>
      <c r="AE39" s="4" t="n"/>
      <c r="AF39" s="743" t="inlineStr">
        <is>
          <t>Ставка оплаты</t>
        </is>
      </c>
      <c r="AG39" s="744" t="n"/>
      <c r="AH39" s="4" t="n"/>
      <c r="AI39" s="4" t="n"/>
      <c r="AJ39" s="4" t="n"/>
      <c r="AK39" s="743" t="inlineStr">
        <is>
          <t>Социальные отчисления</t>
        </is>
      </c>
      <c r="AL39" s="744" t="n"/>
      <c r="AM39" s="37" t="n"/>
    </row>
    <row r="40" ht="24" customHeight="1" thickBot="1">
      <c r="F40" s="45" t="n"/>
      <c r="K40" s="7" t="n"/>
      <c r="L40" s="755" t="inlineStr">
        <is>
          <t>руб.</t>
        </is>
      </c>
      <c r="M40" s="754" t="n"/>
      <c r="Q40" s="755" t="inlineStr">
        <is>
          <t>руб./ед.прод.</t>
        </is>
      </c>
      <c r="R40" s="754" t="n"/>
      <c r="S40" s="764" t="inlineStr">
        <is>
          <t>=</t>
        </is>
      </c>
      <c r="T40" s="765" t="n"/>
      <c r="U40" s="6" t="n"/>
      <c r="V40" s="745" t="inlineStr">
        <is>
          <t>руб./ед.прод.</t>
        </is>
      </c>
      <c r="W40" s="744" t="n"/>
      <c r="X40" s="593" t="inlineStr">
        <is>
          <t>=</t>
        </is>
      </c>
      <c r="Y40" s="641" t="n"/>
      <c r="Z40" s="594" t="n"/>
      <c r="AA40" s="745" t="inlineStr">
        <is>
          <t>нормо-час/ед.прод.</t>
        </is>
      </c>
      <c r="AB40" s="744" t="n"/>
      <c r="AC40" s="211" t="inlineStr">
        <is>
          <t>х</t>
        </is>
      </c>
      <c r="AD40" s="641" t="n"/>
      <c r="AE40" s="594" t="n"/>
      <c r="AF40" s="745" t="inlineStr">
        <is>
          <t>руб./нормо-час</t>
        </is>
      </c>
      <c r="AG40" s="744" t="n"/>
      <c r="AH40" s="211" t="inlineStr">
        <is>
          <t>х</t>
        </is>
      </c>
      <c r="AI40" s="641" t="n"/>
      <c r="AJ40" s="594" t="n"/>
      <c r="AK40" s="745" t="inlineStr">
        <is>
          <t>%</t>
        </is>
      </c>
      <c r="AL40" s="744" t="n"/>
      <c r="AM40" s="32" t="n"/>
    </row>
    <row r="41" ht="24" customHeight="1" thickTop="1">
      <c r="F41" s="45" t="n"/>
      <c r="L41" s="96" t="inlineStr">
        <is>
          <t>Главный инженер</t>
        </is>
      </c>
      <c r="M41" s="97" t="inlineStr">
        <is>
          <t>Директор по производству</t>
        </is>
      </c>
      <c r="O41" s="223" t="n"/>
      <c r="P41" s="224" t="n"/>
      <c r="Q41" s="96" t="inlineStr">
        <is>
          <t>Главный инженер</t>
        </is>
      </c>
      <c r="R41" s="97" t="inlineStr">
        <is>
          <t>Директор по производству</t>
        </is>
      </c>
      <c r="S41" s="8" t="n"/>
      <c r="T41" s="10" t="n"/>
      <c r="U41" s="5" t="n"/>
      <c r="V41" s="96" t="inlineStr">
        <is>
          <t>Директор по экономике</t>
        </is>
      </c>
      <c r="W41" s="97" t="inlineStr">
        <is>
          <t>Директор УП</t>
        </is>
      </c>
      <c r="X41" s="11" t="n"/>
      <c r="Y41" s="11" t="n"/>
      <c r="Z41" s="11" t="n"/>
      <c r="AA41" s="83" t="inlineStr">
        <is>
          <t>Главный технолог</t>
        </is>
      </c>
      <c r="AB41" s="84" t="inlineStr">
        <is>
          <t>Директор по производству</t>
        </is>
      </c>
      <c r="AC41" s="11" t="n"/>
      <c r="AD41" s="11" t="n"/>
      <c r="AE41" s="11" t="n"/>
      <c r="AF41" s="83" t="inlineStr">
        <is>
          <t>Начальник ПЭО</t>
        </is>
      </c>
      <c r="AG41" s="84" t="inlineStr">
        <is>
          <t>Директор УП</t>
        </is>
      </c>
      <c r="AH41" s="11" t="n"/>
      <c r="AI41" s="11" t="n"/>
      <c r="AJ41" s="12" t="n"/>
      <c r="AK41" s="745" t="inlineStr">
        <is>
          <t>Главный бухгалтер</t>
        </is>
      </c>
      <c r="AL41" s="744" t="n"/>
      <c r="AM41" s="32" t="n"/>
    </row>
    <row r="42" ht="14.75" customHeight="1">
      <c r="F42" s="45" t="n"/>
      <c r="L42" s="96" t="inlineStr">
        <is>
          <t>До проекта</t>
        </is>
      </c>
      <c r="M42" s="97" t="inlineStr">
        <is>
          <t>После проекта</t>
        </is>
      </c>
      <c r="Q42" s="96" t="inlineStr">
        <is>
          <t>До проекта</t>
        </is>
      </c>
      <c r="R42" s="97" t="inlineStr">
        <is>
          <t>После проекта</t>
        </is>
      </c>
      <c r="U42" s="6" t="n"/>
      <c r="V42" s="96" t="inlineStr">
        <is>
          <t>До проекта</t>
        </is>
      </c>
      <c r="W42" s="97" t="inlineStr">
        <is>
          <t>После проекта</t>
        </is>
      </c>
      <c r="X42" s="4" t="n"/>
      <c r="Y42" s="4" t="n"/>
      <c r="Z42" s="4" t="n"/>
      <c r="AA42" s="83" t="inlineStr">
        <is>
          <t>Норматив</t>
        </is>
      </c>
      <c r="AB42" s="84" t="inlineStr">
        <is>
          <t>После проекта</t>
        </is>
      </c>
      <c r="AC42" s="4" t="n"/>
      <c r="AD42" s="4" t="n"/>
      <c r="AE42" s="4" t="n"/>
      <c r="AF42" s="83" t="inlineStr">
        <is>
          <t>До проекта</t>
        </is>
      </c>
      <c r="AG42" s="84" t="inlineStr">
        <is>
          <t>После проекта</t>
        </is>
      </c>
      <c r="AH42" s="4" t="n"/>
      <c r="AI42" s="4" t="n"/>
      <c r="AJ42" s="4" t="n"/>
      <c r="AK42" s="83" t="inlineStr">
        <is>
          <t>До проекта</t>
        </is>
      </c>
      <c r="AL42" s="84" t="inlineStr">
        <is>
          <t>После проекта</t>
        </is>
      </c>
      <c r="AM42" s="562" t="n"/>
    </row>
    <row r="43" ht="14.75" customHeight="1" thickBot="1">
      <c r="F43" s="45" t="n"/>
      <c r="L43" s="63">
        <f>IFERROR(VLOOKUP(L38,'Экономический эффект'!$B$9:$F$179,4,FALSE),"0")</f>
        <v/>
      </c>
      <c r="M43" s="64">
        <f>IFERROR(VLOOKUP(L38,'Экономический эффект'!$B$9:$F$179,5,FALSE),"0")</f>
        <v/>
      </c>
      <c r="Q43" s="63">
        <f>VLOOKUP(Q38,'Экономический эффект'!$B$9:$F$179,4,FALSE)</f>
        <v/>
      </c>
      <c r="R43" s="64">
        <f>VLOOKUP(Q38,'Экономический эффект'!$B$9:$F$179,5,FALSE)</f>
        <v/>
      </c>
      <c r="U43" s="6" t="n"/>
      <c r="V43" s="63">
        <f>VLOOKUP(V38,'Экономический эффект'!$B$9:$F$179,4,FALSE)</f>
        <v/>
      </c>
      <c r="W43" s="64">
        <f>VLOOKUP(V38,'Экономический эффект'!$B$9:$F$179,5,FALSE)</f>
        <v/>
      </c>
      <c r="X43" s="4" t="n"/>
      <c r="Y43" s="4" t="n"/>
      <c r="Z43" s="4" t="n"/>
      <c r="AA43" s="129">
        <f>VLOOKUP(AA38,'Экономический эффект'!$B$9:$F$179,4,FALSE)</f>
        <v/>
      </c>
      <c r="AB43" s="130">
        <f>VLOOKUP(AA38,'Экономический эффект'!$B$9:$F$179,5,FALSE)</f>
        <v/>
      </c>
      <c r="AC43" s="4" t="n"/>
      <c r="AD43" s="4" t="n"/>
      <c r="AE43" s="4" t="n"/>
      <c r="AF43" s="131">
        <f>VLOOKUP(AF38,'Экономический эффект'!$B$9:$F$179,4,FALSE)</f>
        <v/>
      </c>
      <c r="AG43" s="132">
        <f>VLOOKUP(AF38,'Экономический эффект'!$B$9:$F$179,5,FALSE)</f>
        <v/>
      </c>
      <c r="AH43" s="4" t="n"/>
      <c r="AI43" s="4" t="n"/>
      <c r="AJ43" s="4" t="n"/>
      <c r="AK43" s="133">
        <f>VLOOKUP(AK38,'Экономический эффект'!$B$9:$F$179,4,FALSE)</f>
        <v/>
      </c>
      <c r="AL43" s="134">
        <f>VLOOKUP(AK38,'Экономический эффект'!$B$9:$F$179,5,FALSE)</f>
        <v/>
      </c>
      <c r="AM43" s="562" t="n"/>
    </row>
    <row r="44" ht="14.75" customHeight="1" thickBot="1" thickTop="1">
      <c r="F44" s="45" t="n"/>
      <c r="L44" s="103" t="inlineStr">
        <is>
          <t>Эффект</t>
        </is>
      </c>
      <c r="M44" s="104">
        <f>M43-L43</f>
        <v/>
      </c>
      <c r="Q44" s="103" t="inlineStr">
        <is>
          <t>Эффект</t>
        </is>
      </c>
      <c r="R44" s="104">
        <f>Q43-R43</f>
        <v/>
      </c>
      <c r="U44" s="6" t="n"/>
      <c r="V44" s="103" t="inlineStr">
        <is>
          <t>Эффект</t>
        </is>
      </c>
      <c r="W44" s="104">
        <f>V43-W43</f>
        <v/>
      </c>
      <c r="X44" s="4" t="n"/>
      <c r="Y44" s="4" t="n"/>
      <c r="Z44" s="4" t="n"/>
      <c r="AA44" s="103" t="inlineStr">
        <is>
          <t>Эффект</t>
        </is>
      </c>
      <c r="AB44" s="136">
        <f>AA43-AB43</f>
        <v/>
      </c>
      <c r="AC44" s="4" t="n"/>
      <c r="AD44" s="4" t="n"/>
      <c r="AE44" s="4" t="n"/>
      <c r="AF44" s="103" t="inlineStr">
        <is>
          <t>Эффект</t>
        </is>
      </c>
      <c r="AG44" s="136">
        <f>AG43-AF43</f>
        <v/>
      </c>
      <c r="AH44" s="4" t="n"/>
      <c r="AI44" s="4" t="n"/>
      <c r="AJ44" s="4" t="n"/>
      <c r="AK44" s="771" t="n"/>
      <c r="AL44" s="771" t="n"/>
      <c r="AM44" s="562" t="n"/>
    </row>
    <row r="45" ht="26.5" customHeight="1" thickTop="1">
      <c r="F45" s="45" t="n"/>
      <c r="Q45" s="599" t="inlineStr">
        <is>
          <t>х</t>
        </is>
      </c>
      <c r="R45" s="223" t="n"/>
      <c r="U45" s="6" t="n"/>
      <c r="V45" s="590" t="inlineStr">
        <is>
          <t>+</t>
        </is>
      </c>
      <c r="W45" s="223" t="n"/>
      <c r="AA45" s="3" t="n"/>
      <c r="AB45" s="3" t="n"/>
      <c r="AG45" s="1" t="n"/>
    </row>
    <row r="46" ht="14.75" customHeight="1" thickBot="1">
      <c r="F46" s="45" t="n"/>
      <c r="Q46" s="225" t="n"/>
      <c r="R46" s="225" t="n"/>
      <c r="U46" s="6" t="n"/>
      <c r="AA46" s="3" t="n"/>
      <c r="AB46" s="3" t="n"/>
      <c r="AG46" s="1" t="n"/>
    </row>
    <row r="47" ht="15" customHeight="1" thickTop="1">
      <c r="F47" s="45" t="n"/>
      <c r="Q47" s="748" t="inlineStr">
        <is>
          <t>МП1.1</t>
        </is>
      </c>
      <c r="R47" s="749" t="n"/>
      <c r="U47" s="6" t="n"/>
      <c r="AA47" s="759" t="inlineStr">
        <is>
          <t>МП2.3.1</t>
        </is>
      </c>
      <c r="AB47" s="760" t="n"/>
      <c r="AE47" s="4" t="n"/>
      <c r="AF47" s="759" t="inlineStr">
        <is>
          <t>МП2.3.1.1</t>
        </is>
      </c>
      <c r="AG47" s="760" t="n"/>
      <c r="AH47" s="4" t="n"/>
      <c r="AI47" s="4" t="n"/>
      <c r="AJ47" s="4" t="n"/>
      <c r="AK47" s="759" t="inlineStr">
        <is>
          <t>МП2.3.1.2</t>
        </is>
      </c>
      <c r="AL47" s="760" t="n"/>
    </row>
    <row r="48" ht="24.5" customHeight="1">
      <c r="F48" s="45" t="n"/>
      <c r="Q48" s="753" t="inlineStr">
        <is>
          <t>Объем реализации</t>
        </is>
      </c>
      <c r="R48" s="754" t="n"/>
      <c r="U48" s="6" t="n"/>
      <c r="AA48" s="743" t="inlineStr">
        <is>
          <t>Электроэнергия</t>
        </is>
      </c>
      <c r="AB48" s="744" t="n"/>
      <c r="AC48" s="4" t="n"/>
      <c r="AD48" s="4" t="n"/>
      <c r="AE48" s="4" t="n"/>
      <c r="AF48" s="743" t="inlineStr">
        <is>
          <t>Потребление электроэнергии</t>
        </is>
      </c>
      <c r="AG48" s="744" t="n"/>
      <c r="AH48" s="4" t="n"/>
      <c r="AI48" s="4" t="n"/>
      <c r="AJ48" s="4" t="n"/>
      <c r="AK48" s="743" t="inlineStr">
        <is>
          <t>Цена</t>
        </is>
      </c>
      <c r="AL48" s="744" t="n"/>
    </row>
    <row r="49" ht="24" customHeight="1" thickBot="1">
      <c r="F49" s="45" t="n"/>
      <c r="Q49" s="755" t="inlineStr">
        <is>
          <t>ед.прод.</t>
        </is>
      </c>
      <c r="R49" s="754" t="n"/>
      <c r="U49" s="6" t="n"/>
      <c r="Z49" s="225" t="n"/>
      <c r="AA49" s="745" t="inlineStr">
        <is>
          <t>руб./ед.прод.</t>
        </is>
      </c>
      <c r="AB49" s="744" t="n"/>
      <c r="AC49" s="593" t="inlineStr">
        <is>
          <t>=</t>
        </is>
      </c>
      <c r="AD49" s="641" t="n"/>
      <c r="AE49" s="594" t="n"/>
      <c r="AF49" s="745" t="inlineStr">
        <is>
          <t>КВт/ед.прод.</t>
        </is>
      </c>
      <c r="AG49" s="744" t="n"/>
      <c r="AH49" s="211" t="inlineStr">
        <is>
          <t>х</t>
        </is>
      </c>
      <c r="AI49" s="641" t="n"/>
      <c r="AJ49" s="594" t="n"/>
      <c r="AK49" s="745" t="inlineStr">
        <is>
          <t>руб./КВт</t>
        </is>
      </c>
      <c r="AL49" s="744" t="n"/>
    </row>
    <row r="50" ht="27" customHeight="1" thickTop="1">
      <c r="F50" s="45" t="n"/>
      <c r="Q50" s="96" t="inlineStr">
        <is>
          <t>Директор по экономике</t>
        </is>
      </c>
      <c r="R50" s="97" t="inlineStr">
        <is>
          <t>Коммерческий директор</t>
        </is>
      </c>
      <c r="U50" s="6" t="n"/>
      <c r="Z50" s="5" t="n"/>
      <c r="AA50" s="96" t="inlineStr">
        <is>
          <t>Главный инженер</t>
        </is>
      </c>
      <c r="AB50" s="97" t="inlineStr">
        <is>
          <t>Директор по производству</t>
        </is>
      </c>
      <c r="AC50" s="11" t="n"/>
      <c r="AD50" s="11" t="n"/>
      <c r="AE50" s="11" t="n"/>
      <c r="AF50" s="584" t="inlineStr">
        <is>
          <t>Главный энергетик</t>
        </is>
      </c>
      <c r="AG50" s="84" t="inlineStr">
        <is>
          <t>Директор по производству</t>
        </is>
      </c>
      <c r="AH50" s="11" t="n"/>
      <c r="AI50" s="11" t="n"/>
      <c r="AJ50" s="11" t="n"/>
      <c r="AK50" s="83" t="inlineStr">
        <is>
          <t>Начальник ПЭО</t>
        </is>
      </c>
      <c r="AL50" s="84" t="inlineStr">
        <is>
          <t>Главный энергетик</t>
        </is>
      </c>
    </row>
    <row r="51" ht="14.75" customHeight="1">
      <c r="F51" s="45" t="n"/>
      <c r="Q51" s="96" t="inlineStr">
        <is>
          <t>До проекта</t>
        </is>
      </c>
      <c r="R51" s="97" t="inlineStr">
        <is>
          <t>После проекта</t>
        </is>
      </c>
      <c r="U51" s="6" t="n"/>
      <c r="Z51" s="6" t="n"/>
      <c r="AA51" s="96" t="inlineStr">
        <is>
          <t>До проекта</t>
        </is>
      </c>
      <c r="AB51" s="97" t="inlineStr">
        <is>
          <t>После проекта</t>
        </is>
      </c>
      <c r="AC51" s="4" t="n"/>
      <c r="AD51" s="4" t="n"/>
      <c r="AE51" s="4" t="n"/>
      <c r="AF51" s="83" t="inlineStr">
        <is>
          <t>Норматив</t>
        </is>
      </c>
      <c r="AG51" s="84" t="inlineStr">
        <is>
          <t>После проекта</t>
        </is>
      </c>
      <c r="AH51" s="4" t="n"/>
      <c r="AI51" s="4" t="n"/>
      <c r="AJ51" s="4" t="n"/>
      <c r="AK51" s="83" t="inlineStr">
        <is>
          <t>До проекта</t>
        </is>
      </c>
      <c r="AL51" s="84" t="inlineStr">
        <is>
          <t>После проекта</t>
        </is>
      </c>
    </row>
    <row r="52" ht="15" customHeight="1" thickBot="1">
      <c r="F52" s="45" t="n"/>
      <c r="Q52" s="63">
        <f>IFERROR(VLOOKUP(Q47,'Экономический эффект'!$B$9:$F$179,4,FALSE),"0")</f>
        <v/>
      </c>
      <c r="R52" s="64">
        <f>IFERROR(VLOOKUP(Q47,'Экономический эффект'!$B$9:$F$179,5,FALSE),"0")</f>
        <v/>
      </c>
      <c r="U52" s="6" t="n"/>
      <c r="Z52" s="6" t="n"/>
      <c r="AA52" s="63">
        <f>VLOOKUP(AA47,'Экономический эффект'!$B$9:$F$179,4,FALSE)</f>
        <v/>
      </c>
      <c r="AB52" s="64">
        <f>VLOOKUP(AA47,'Экономический эффект'!$B$9:$F$179,5,FALSE)</f>
        <v/>
      </c>
      <c r="AC52" s="4" t="n"/>
      <c r="AD52" s="4" t="n"/>
      <c r="AE52" s="4" t="n"/>
      <c r="AF52" s="129">
        <f>VLOOKUP(AF47,'Экономический эффект'!$B$9:$F$179,4,FALSE)</f>
        <v/>
      </c>
      <c r="AG52" s="130">
        <f>VLOOKUP(AF47,'Экономический эффект'!$B$9:$F$179,5,FALSE)</f>
        <v/>
      </c>
      <c r="AH52" s="4" t="n"/>
      <c r="AI52" s="4" t="n"/>
      <c r="AJ52" s="4" t="n"/>
      <c r="AK52" s="131">
        <f>VLOOKUP(AK47,'Экономический эффект'!$B$9:$F$179,4,FALSE)</f>
        <v/>
      </c>
      <c r="AL52" s="132">
        <f>VLOOKUP(AK47,'Экономический эффект'!$B$9:$F$179,5,FALSE)</f>
        <v/>
      </c>
    </row>
    <row r="53" ht="15" customHeight="1" thickBot="1" thickTop="1">
      <c r="F53" s="45" t="n"/>
      <c r="Q53" s="103" t="inlineStr">
        <is>
          <t>Эффект</t>
        </is>
      </c>
      <c r="R53" s="104">
        <f>R52-Q52</f>
        <v/>
      </c>
      <c r="U53" s="6" t="n"/>
      <c r="Z53" s="6" t="n"/>
      <c r="AA53" s="103" t="inlineStr">
        <is>
          <t>Эффект</t>
        </is>
      </c>
      <c r="AB53" s="104">
        <f>AA52-AB52</f>
        <v/>
      </c>
      <c r="AC53" s="4" t="n"/>
      <c r="AD53" s="4" t="n"/>
      <c r="AE53" s="4" t="n"/>
      <c r="AF53" s="103" t="inlineStr">
        <is>
          <t>Эффект</t>
        </is>
      </c>
      <c r="AG53" s="772">
        <f>AF52-AG52</f>
        <v/>
      </c>
      <c r="AH53" s="4" t="n"/>
      <c r="AI53" s="4" t="n"/>
      <c r="AJ53" s="4" t="n"/>
      <c r="AK53" s="103" t="inlineStr">
        <is>
          <t>Эффект</t>
        </is>
      </c>
      <c r="AL53" s="104">
        <f>AL52-AK52</f>
        <v/>
      </c>
    </row>
    <row r="54" ht="15" customHeight="1" thickTop="1">
      <c r="F54" s="45" t="n"/>
      <c r="L54" s="611" t="n"/>
      <c r="U54" s="6" t="n"/>
      <c r="Z54" s="6" t="n"/>
    </row>
    <row r="55" ht="14.75" customHeight="1" thickBot="1">
      <c r="F55" s="45" t="n"/>
      <c r="U55" s="6" t="n"/>
      <c r="V55" s="773" t="n"/>
      <c r="W55" s="773" t="n"/>
      <c r="Z55" s="6" t="n"/>
      <c r="AA55" s="3" t="n"/>
      <c r="AB55" s="3" t="n"/>
      <c r="AG55" s="1" t="n"/>
    </row>
    <row r="56" ht="15" customHeight="1">
      <c r="F56" s="45" t="n"/>
      <c r="Q56" s="562" t="n"/>
      <c r="U56" s="6" t="n"/>
      <c r="V56" s="759" t="inlineStr">
        <is>
          <t>МП2.3</t>
        </is>
      </c>
      <c r="W56" s="760" t="n"/>
      <c r="Z56" s="6" t="n"/>
      <c r="AA56" s="759" t="inlineStr">
        <is>
          <t>МП2.3.2</t>
        </is>
      </c>
      <c r="AB56" s="760" t="n"/>
      <c r="AE56" s="4" t="n"/>
      <c r="AF56" s="759" t="inlineStr">
        <is>
          <t>МП2.3.2.1</t>
        </is>
      </c>
      <c r="AG56" s="760" t="n"/>
      <c r="AH56" s="4" t="n"/>
      <c r="AI56" s="4" t="n"/>
      <c r="AJ56" s="4" t="n"/>
      <c r="AK56" s="759" t="inlineStr">
        <is>
          <t>МП2.3.2.2</t>
        </is>
      </c>
      <c r="AL56" s="760" t="n"/>
    </row>
    <row r="57" ht="24.5" customHeight="1">
      <c r="F57" s="45" t="n"/>
      <c r="Q57" s="563" t="n"/>
      <c r="U57" s="6" t="n"/>
      <c r="V57" s="743" t="inlineStr">
        <is>
          <t>Энергетика</t>
        </is>
      </c>
      <c r="W57" s="744" t="n"/>
      <c r="Z57" s="6" t="n"/>
      <c r="AA57" s="743" t="inlineStr">
        <is>
          <t>Вода</t>
        </is>
      </c>
      <c r="AB57" s="744" t="n"/>
      <c r="AC57" s="4" t="n"/>
      <c r="AD57" s="4" t="n"/>
      <c r="AE57" s="4" t="n"/>
      <c r="AF57" s="743" t="inlineStr">
        <is>
          <t>Потребление электроэнергии</t>
        </is>
      </c>
      <c r="AG57" s="744" t="n"/>
      <c r="AH57" s="4" t="n"/>
      <c r="AI57" s="4" t="n"/>
      <c r="AJ57" s="4" t="n"/>
      <c r="AK57" s="743" t="inlineStr">
        <is>
          <t>Цена</t>
        </is>
      </c>
      <c r="AL57" s="744" t="n"/>
    </row>
    <row r="58" ht="24" customHeight="1" thickBot="1">
      <c r="F58" s="45" t="n"/>
      <c r="Q58" s="562" t="n"/>
      <c r="U58" s="7" t="n"/>
      <c r="V58" s="745" t="inlineStr">
        <is>
          <t>руб./ед.прод.</t>
        </is>
      </c>
      <c r="W58" s="744" t="n"/>
      <c r="Z58" s="6" t="n"/>
      <c r="AA58" s="745" t="inlineStr">
        <is>
          <t>руб./ед.прод.</t>
        </is>
      </c>
      <c r="AB58" s="744" t="n"/>
      <c r="AC58" s="593" t="inlineStr">
        <is>
          <t>=</t>
        </is>
      </c>
      <c r="AD58" s="641" t="n"/>
      <c r="AE58" s="594" t="n"/>
      <c r="AF58" s="745" t="inlineStr">
        <is>
          <t>м3/ед.прод.</t>
        </is>
      </c>
      <c r="AG58" s="744" t="n"/>
      <c r="AH58" s="211" t="inlineStr">
        <is>
          <t>х</t>
        </is>
      </c>
      <c r="AI58" s="641" t="n"/>
      <c r="AJ58" s="594" t="n"/>
      <c r="AK58" s="745" t="inlineStr">
        <is>
          <t>руб./м3</t>
        </is>
      </c>
      <c r="AL58" s="744" t="n"/>
    </row>
    <row r="59" ht="27" customHeight="1" thickTop="1">
      <c r="F59" s="45" t="n"/>
      <c r="Q59" s="562" t="n"/>
      <c r="R59" s="562" t="n"/>
      <c r="V59" s="96" t="inlineStr">
        <is>
          <t>Главный инженер</t>
        </is>
      </c>
      <c r="W59" s="97" t="inlineStr">
        <is>
          <t>Директор по производству</t>
        </is>
      </c>
      <c r="X59" s="5" t="n"/>
      <c r="Y59" s="223" t="n"/>
      <c r="Z59" s="226" t="n"/>
      <c r="AA59" s="96" t="inlineStr">
        <is>
          <t>Главный инженер</t>
        </is>
      </c>
      <c r="AB59" s="97" t="inlineStr">
        <is>
          <t>Директор по производству</t>
        </is>
      </c>
      <c r="AC59" s="11" t="n"/>
      <c r="AD59" s="11" t="n"/>
      <c r="AE59" s="11" t="n"/>
      <c r="AF59" s="584" t="inlineStr">
        <is>
          <t>Главный энергетик</t>
        </is>
      </c>
      <c r="AG59" s="84" t="inlineStr">
        <is>
          <t>Директор по производству</t>
        </is>
      </c>
      <c r="AH59" s="11" t="n"/>
      <c r="AI59" s="11" t="n"/>
      <c r="AJ59" s="11" t="n"/>
      <c r="AK59" s="83" t="inlineStr">
        <is>
          <t>Начальник ПЭО</t>
        </is>
      </c>
      <c r="AL59" s="84" t="inlineStr">
        <is>
          <t>Главный энергетик</t>
        </is>
      </c>
    </row>
    <row r="60" ht="14.75" customHeight="1">
      <c r="F60" s="45" t="n"/>
      <c r="Q60" s="562" t="n"/>
      <c r="R60" s="562" t="n"/>
      <c r="V60" s="96" t="inlineStr">
        <is>
          <t>До проекта</t>
        </is>
      </c>
      <c r="W60" s="97" t="inlineStr">
        <is>
          <t>После проекта</t>
        </is>
      </c>
      <c r="Z60" s="6" t="n"/>
      <c r="AA60" s="96" t="inlineStr">
        <is>
          <t>До проекта</t>
        </is>
      </c>
      <c r="AB60" s="97" t="inlineStr">
        <is>
          <t>После проекта</t>
        </is>
      </c>
      <c r="AC60" s="4" t="n"/>
      <c r="AD60" s="4" t="n"/>
      <c r="AE60" s="4" t="n"/>
      <c r="AF60" s="83" t="inlineStr">
        <is>
          <t>Норматив</t>
        </is>
      </c>
      <c r="AG60" s="84" t="inlineStr">
        <is>
          <t>После проекта</t>
        </is>
      </c>
      <c r="AH60" s="4" t="n"/>
      <c r="AI60" s="4" t="n"/>
      <c r="AJ60" s="4" t="n"/>
      <c r="AK60" s="83" t="inlineStr">
        <is>
          <t>До проекта</t>
        </is>
      </c>
      <c r="AL60" s="84" t="inlineStr">
        <is>
          <t>После проекта</t>
        </is>
      </c>
    </row>
    <row r="61" ht="15" customHeight="1" thickBot="1">
      <c r="F61" s="45" t="n"/>
      <c r="Q61" s="99" t="n"/>
      <c r="R61" s="99" t="n"/>
      <c r="V61" s="63">
        <f>VLOOKUP(V56,'Экономический эффект'!$B$9:$F$179,4,FALSE)</f>
        <v/>
      </c>
      <c r="W61" s="64">
        <f>VLOOKUP(V56,'Экономический эффект'!$B$9:$F$179,5,FALSE)</f>
        <v/>
      </c>
      <c r="Z61" s="6" t="n"/>
      <c r="AA61" s="63">
        <f>VLOOKUP(AA56,'Экономический эффект'!$B$9:$F$179,4,FALSE)</f>
        <v/>
      </c>
      <c r="AB61" s="64">
        <f>VLOOKUP(AA56,'Экономический эффект'!$B$9:$F$179,5,FALSE)</f>
        <v/>
      </c>
      <c r="AC61" s="4" t="n"/>
      <c r="AD61" s="4" t="n"/>
      <c r="AE61" s="4" t="n"/>
      <c r="AF61" s="129">
        <f>VLOOKUP(AF56,'Экономический эффект'!$B$9:$F$179,4,FALSE)</f>
        <v/>
      </c>
      <c r="AG61" s="130">
        <f>VLOOKUP(AF56,'Экономический эффект'!$B$9:$F$179,5,FALSE)</f>
        <v/>
      </c>
      <c r="AH61" s="4" t="n"/>
      <c r="AI61" s="4" t="n"/>
      <c r="AJ61" s="4" t="n"/>
      <c r="AK61" s="131">
        <f>VLOOKUP(AK56,'Экономический эффект'!$B$9:$F$179,4,FALSE)</f>
        <v/>
      </c>
      <c r="AL61" s="132">
        <f>VLOOKUP(AK56,'Экономический эффект'!$B$9:$F$179,5,FALSE)</f>
        <v/>
      </c>
    </row>
    <row r="62" ht="15" customHeight="1" thickBot="1" thickTop="1">
      <c r="F62" s="45" t="n"/>
      <c r="Q62" s="563" t="n"/>
      <c r="R62" s="611" t="n"/>
      <c r="V62" s="103" t="inlineStr">
        <is>
          <t>Эффект</t>
        </is>
      </c>
      <c r="W62" s="104">
        <f>V61-W61</f>
        <v/>
      </c>
      <c r="Z62" s="6" t="n"/>
      <c r="AA62" s="103" t="inlineStr">
        <is>
          <t>Эффект</t>
        </is>
      </c>
      <c r="AB62" s="104">
        <f>AA61-AB61</f>
        <v/>
      </c>
      <c r="AC62" s="4" t="n"/>
      <c r="AD62" s="4" t="n"/>
      <c r="AE62" s="4" t="n"/>
      <c r="AF62" s="103" t="inlineStr">
        <is>
          <t>Эффект</t>
        </is>
      </c>
      <c r="AG62" s="772">
        <f>AF61-AG61</f>
        <v/>
      </c>
      <c r="AH62" s="4" t="n"/>
      <c r="AI62" s="4" t="n"/>
      <c r="AJ62" s="4" t="n"/>
      <c r="AK62" s="103" t="inlineStr">
        <is>
          <t>Эффект</t>
        </is>
      </c>
      <c r="AL62" s="104">
        <f>AL61-AK61</f>
        <v/>
      </c>
    </row>
    <row r="63" ht="15" customHeight="1" thickTop="1">
      <c r="F63" s="45" t="n"/>
      <c r="L63" s="611" t="n"/>
      <c r="Z63" s="6" t="n"/>
    </row>
    <row r="64" ht="14.75" customHeight="1" thickBot="1">
      <c r="F64" s="45" t="n"/>
      <c r="V64" s="537" t="n"/>
      <c r="W64" s="537" t="n"/>
      <c r="Z64" s="6" t="n"/>
      <c r="AA64" s="3" t="n"/>
      <c r="AB64" s="3" t="n"/>
      <c r="AG64" s="1" t="n"/>
    </row>
    <row r="65" ht="15" customHeight="1">
      <c r="F65" s="45" t="n"/>
      <c r="Q65" s="562" t="n"/>
      <c r="Z65" s="6" t="n"/>
      <c r="AA65" s="759" t="inlineStr">
        <is>
          <t>МП2.3.3</t>
        </is>
      </c>
      <c r="AB65" s="760" t="n"/>
      <c r="AE65" s="4" t="n"/>
      <c r="AF65" s="759" t="inlineStr">
        <is>
          <t>МП2.3.3.1</t>
        </is>
      </c>
      <c r="AG65" s="760" t="n"/>
      <c r="AH65" s="4" t="n"/>
      <c r="AI65" s="4" t="n"/>
      <c r="AJ65" s="4" t="n"/>
      <c r="AK65" s="759" t="inlineStr">
        <is>
          <t>МП2.3.3.2</t>
        </is>
      </c>
      <c r="AL65" s="760" t="n"/>
    </row>
    <row r="66" ht="24.5" customHeight="1">
      <c r="F66" s="45" t="n"/>
      <c r="Q66" s="563" t="n"/>
      <c r="Z66" s="6" t="n"/>
      <c r="AA66" s="743" t="inlineStr">
        <is>
          <t>Газ</t>
        </is>
      </c>
      <c r="AB66" s="744" t="n"/>
      <c r="AC66" s="4" t="n"/>
      <c r="AD66" s="4" t="n"/>
      <c r="AE66" s="4" t="n"/>
      <c r="AF66" s="743" t="inlineStr">
        <is>
          <t>Потребление электроэнергии</t>
        </is>
      </c>
      <c r="AG66" s="744" t="n"/>
      <c r="AH66" s="4" t="n"/>
      <c r="AI66" s="4" t="n"/>
      <c r="AJ66" s="4" t="n"/>
      <c r="AK66" s="743" t="inlineStr">
        <is>
          <t>Цена</t>
        </is>
      </c>
      <c r="AL66" s="744" t="n"/>
    </row>
    <row r="67" ht="24" customHeight="1" thickBot="1">
      <c r="F67" s="45" t="n"/>
      <c r="Q67" s="562" t="n"/>
      <c r="Z67" s="7" t="n"/>
      <c r="AA67" s="745" t="inlineStr">
        <is>
          <t>руб./ед.прод.</t>
        </is>
      </c>
      <c r="AB67" s="744" t="n"/>
      <c r="AC67" s="593" t="inlineStr">
        <is>
          <t>=</t>
        </is>
      </c>
      <c r="AD67" s="641" t="n"/>
      <c r="AE67" s="594" t="n"/>
      <c r="AF67" s="745" t="inlineStr">
        <is>
          <t>м3/ед.прод.</t>
        </is>
      </c>
      <c r="AG67" s="744" t="n"/>
      <c r="AH67" s="211" t="inlineStr">
        <is>
          <t>х</t>
        </is>
      </c>
      <c r="AI67" s="641" t="n"/>
      <c r="AJ67" s="594" t="n"/>
      <c r="AK67" s="745" t="inlineStr">
        <is>
          <t>руб./м3</t>
        </is>
      </c>
      <c r="AL67" s="744" t="n"/>
    </row>
    <row r="68" ht="27" customHeight="1" thickTop="1">
      <c r="F68" s="45" t="n"/>
      <c r="Q68" s="562" t="n"/>
      <c r="R68" s="562" t="n"/>
      <c r="Z68" s="5" t="n"/>
      <c r="AA68" s="96" t="inlineStr">
        <is>
          <t>Главный инженер</t>
        </is>
      </c>
      <c r="AB68" s="97" t="inlineStr">
        <is>
          <t>Директор по производству</t>
        </is>
      </c>
      <c r="AC68" s="11" t="n"/>
      <c r="AD68" s="11" t="n"/>
      <c r="AE68" s="11" t="n"/>
      <c r="AF68" s="584" t="inlineStr">
        <is>
          <t>Главный энергетик</t>
        </is>
      </c>
      <c r="AG68" s="84" t="inlineStr">
        <is>
          <t>Директор по производству</t>
        </is>
      </c>
      <c r="AH68" s="11" t="n"/>
      <c r="AI68" s="11" t="n"/>
      <c r="AJ68" s="11" t="n"/>
      <c r="AK68" s="83" t="inlineStr">
        <is>
          <t>Начальник ПЭО</t>
        </is>
      </c>
      <c r="AL68" s="84" t="inlineStr">
        <is>
          <t>Главный энергетик</t>
        </is>
      </c>
    </row>
    <row r="69" ht="14.75" customHeight="1">
      <c r="F69" s="45" t="n"/>
      <c r="Q69" s="562" t="n"/>
      <c r="R69" s="562" t="n"/>
      <c r="Z69" s="6" t="n"/>
      <c r="AA69" s="96" t="inlineStr">
        <is>
          <t>До проекта</t>
        </is>
      </c>
      <c r="AB69" s="97" t="inlineStr">
        <is>
          <t>После проекта</t>
        </is>
      </c>
      <c r="AC69" s="4" t="n"/>
      <c r="AD69" s="4" t="n"/>
      <c r="AE69" s="4" t="n"/>
      <c r="AF69" s="83" t="inlineStr">
        <is>
          <t>Норматив</t>
        </is>
      </c>
      <c r="AG69" s="84" t="inlineStr">
        <is>
          <t>После проекта</t>
        </is>
      </c>
      <c r="AH69" s="4" t="n"/>
      <c r="AI69" s="4" t="n"/>
      <c r="AJ69" s="4" t="n"/>
      <c r="AK69" s="83" t="inlineStr">
        <is>
          <t>До проекта</t>
        </is>
      </c>
      <c r="AL69" s="84" t="inlineStr">
        <is>
          <t>После проекта</t>
        </is>
      </c>
    </row>
    <row r="70" ht="15" customHeight="1" thickBot="1">
      <c r="F70" s="45" t="n"/>
      <c r="Q70" s="99" t="n"/>
      <c r="R70" s="99" t="n"/>
      <c r="Z70" s="6" t="n"/>
      <c r="AA70" s="63">
        <f>VLOOKUP(AA65,'Экономический эффект'!$B$9:$F$179,4,FALSE)</f>
        <v/>
      </c>
      <c r="AB70" s="64">
        <f>VLOOKUP(AA65,'Экономический эффект'!$B$9:$F$179,5,FALSE)</f>
        <v/>
      </c>
      <c r="AC70" s="4" t="n"/>
      <c r="AD70" s="4" t="n"/>
      <c r="AE70" s="4" t="n"/>
      <c r="AF70" s="129">
        <f>VLOOKUP(AF65,'Экономический эффект'!$B$9:$F$179,4,FALSE)</f>
        <v/>
      </c>
      <c r="AG70" s="130">
        <f>VLOOKUP(AF65,'Экономический эффект'!$B$9:$F$179,5,FALSE)</f>
        <v/>
      </c>
      <c r="AH70" s="4" t="n"/>
      <c r="AI70" s="4" t="n"/>
      <c r="AJ70" s="4" t="n"/>
      <c r="AK70" s="131">
        <f>VLOOKUP(AK65,'Экономический эффект'!$B$9:$F$179,4,FALSE)</f>
        <v/>
      </c>
      <c r="AL70" s="132">
        <f>VLOOKUP(AK65,'Экономический эффект'!$B$9:$F$179,5,FALSE)</f>
        <v/>
      </c>
    </row>
    <row r="71" ht="15" customHeight="1" thickBot="1" thickTop="1">
      <c r="F71" s="45" t="n"/>
      <c r="Q71" s="563" t="n"/>
      <c r="R71" s="611" t="n"/>
      <c r="Z71" s="6" t="n"/>
      <c r="AA71" s="103" t="inlineStr">
        <is>
          <t>Эффект</t>
        </is>
      </c>
      <c r="AB71" s="104">
        <f>AA70-AB70</f>
        <v/>
      </c>
      <c r="AC71" s="4" t="n"/>
      <c r="AD71" s="4" t="n"/>
      <c r="AE71" s="4" t="n"/>
      <c r="AF71" s="103" t="inlineStr">
        <is>
          <t>Эффект</t>
        </is>
      </c>
      <c r="AG71" s="772">
        <f>AF70-AG70</f>
        <v/>
      </c>
      <c r="AH71" s="4" t="n"/>
      <c r="AI71" s="4" t="n"/>
      <c r="AJ71" s="4" t="n"/>
      <c r="AK71" s="103" t="inlineStr">
        <is>
          <t>Эффект</t>
        </is>
      </c>
      <c r="AL71" s="104">
        <f>AL70-AK70</f>
        <v/>
      </c>
    </row>
    <row r="72" ht="15" customHeight="1" thickTop="1">
      <c r="F72" s="45" t="n"/>
      <c r="L72" s="611" t="n"/>
      <c r="Z72" s="6" t="n"/>
    </row>
    <row r="73" ht="14.75" customHeight="1" thickBot="1">
      <c r="F73" s="45" t="n"/>
      <c r="V73" s="537" t="n"/>
      <c r="W73" s="537" t="n"/>
      <c r="Z73" s="6" t="n"/>
      <c r="AA73" s="3" t="n"/>
      <c r="AB73" s="3" t="n"/>
      <c r="AG73" s="1" t="n"/>
    </row>
    <row r="74" ht="15" customHeight="1">
      <c r="F74" s="45" t="n"/>
      <c r="Q74" s="562" t="n"/>
      <c r="Z74" s="6" t="n"/>
      <c r="AA74" s="759" t="inlineStr">
        <is>
          <t>МП2.3.4</t>
        </is>
      </c>
      <c r="AB74" s="760" t="n"/>
      <c r="AE74" s="4" t="n"/>
      <c r="AF74" s="759" t="inlineStr">
        <is>
          <t>МП2.3.4.1</t>
        </is>
      </c>
      <c r="AG74" s="760" t="n"/>
      <c r="AH74" s="4" t="n"/>
      <c r="AI74" s="4" t="n"/>
      <c r="AJ74" s="4" t="n"/>
      <c r="AK74" s="759" t="inlineStr">
        <is>
          <t>МП2.3.4.2</t>
        </is>
      </c>
      <c r="AL74" s="760" t="n"/>
    </row>
    <row r="75" ht="24.5" customHeight="1">
      <c r="F75" s="45" t="n"/>
      <c r="Q75" s="563" t="n"/>
      <c r="Z75" s="6" t="n"/>
      <c r="AA75" s="743" t="inlineStr">
        <is>
          <t>Электроэнергия</t>
        </is>
      </c>
      <c r="AB75" s="744" t="n"/>
      <c r="AC75" s="4" t="n"/>
      <c r="AD75" s="4" t="n"/>
      <c r="AE75" s="4" t="n"/>
      <c r="AF75" s="743" t="inlineStr">
        <is>
          <t>Потребление электроэнергии</t>
        </is>
      </c>
      <c r="AG75" s="744" t="n"/>
      <c r="AH75" s="4" t="n"/>
      <c r="AI75" s="4" t="n"/>
      <c r="AJ75" s="4" t="n"/>
      <c r="AK75" s="743" t="inlineStr">
        <is>
          <t>Цена</t>
        </is>
      </c>
      <c r="AL75" s="744" t="n"/>
    </row>
    <row r="76" ht="24" customHeight="1" thickBot="1">
      <c r="F76" s="45" t="n"/>
      <c r="Q76" s="562" t="n"/>
      <c r="Z76" s="7" t="n"/>
      <c r="AA76" s="745" t="inlineStr">
        <is>
          <t>руб./ед.прод.</t>
        </is>
      </c>
      <c r="AB76" s="744" t="n"/>
      <c r="AC76" s="593" t="inlineStr">
        <is>
          <t>=</t>
        </is>
      </c>
      <c r="AD76" s="641" t="n"/>
      <c r="AE76" s="594" t="n"/>
      <c r="AF76" s="745" t="inlineStr">
        <is>
          <t>Гкал/ед.прод.</t>
        </is>
      </c>
      <c r="AG76" s="744" t="n"/>
      <c r="AH76" s="211" t="inlineStr">
        <is>
          <t>х</t>
        </is>
      </c>
      <c r="AI76" s="641" t="n"/>
      <c r="AJ76" s="594" t="n"/>
      <c r="AK76" s="745" t="inlineStr">
        <is>
          <t>руб./Гкал</t>
        </is>
      </c>
      <c r="AL76" s="744" t="n"/>
    </row>
    <row r="77" ht="27" customHeight="1" thickTop="1">
      <c r="F77" s="45" t="n"/>
      <c r="Q77" s="562" t="n"/>
      <c r="R77" s="562" t="n"/>
      <c r="AA77" s="96" t="inlineStr">
        <is>
          <t>Главный инженер</t>
        </is>
      </c>
      <c r="AB77" s="97" t="inlineStr">
        <is>
          <t>Директор по производству</t>
        </is>
      </c>
      <c r="AC77" s="11" t="n"/>
      <c r="AD77" s="11" t="n"/>
      <c r="AE77" s="11" t="n"/>
      <c r="AF77" s="584" t="inlineStr">
        <is>
          <t>Главный энергетик</t>
        </is>
      </c>
      <c r="AG77" s="84" t="inlineStr">
        <is>
          <t>Директор по производству</t>
        </is>
      </c>
      <c r="AH77" s="11" t="n"/>
      <c r="AI77" s="11" t="n"/>
      <c r="AJ77" s="11" t="n"/>
      <c r="AK77" s="83" t="inlineStr">
        <is>
          <t>Начальник ПЭО</t>
        </is>
      </c>
      <c r="AL77" s="84" t="inlineStr">
        <is>
          <t>Главный энергетик</t>
        </is>
      </c>
    </row>
    <row r="78" ht="14.75" customHeight="1">
      <c r="F78" s="45" t="n"/>
      <c r="Q78" s="562" t="n"/>
      <c r="R78" s="562" t="n"/>
      <c r="AA78" s="96" t="inlineStr">
        <is>
          <t>До проекта</t>
        </is>
      </c>
      <c r="AB78" s="97" t="inlineStr">
        <is>
          <t>После проекта</t>
        </is>
      </c>
      <c r="AC78" s="4" t="n"/>
      <c r="AD78" s="4" t="n"/>
      <c r="AE78" s="4" t="n"/>
      <c r="AF78" s="83" t="inlineStr">
        <is>
          <t>Норматив</t>
        </is>
      </c>
      <c r="AG78" s="84" t="inlineStr">
        <is>
          <t>После проекта</t>
        </is>
      </c>
      <c r="AH78" s="4" t="n"/>
      <c r="AI78" s="4" t="n"/>
      <c r="AJ78" s="4" t="n"/>
      <c r="AK78" s="83" t="inlineStr">
        <is>
          <t>До проекта</t>
        </is>
      </c>
      <c r="AL78" s="84" t="inlineStr">
        <is>
          <t>После проекта</t>
        </is>
      </c>
    </row>
    <row r="79" ht="15" customHeight="1" thickBot="1">
      <c r="F79" s="45" t="n"/>
      <c r="Q79" s="99" t="n"/>
      <c r="R79" s="99" t="n"/>
      <c r="AA79" s="63">
        <f>VLOOKUP(AA74,'Экономический эффект'!$B$9:$F$179,4,FALSE)</f>
        <v/>
      </c>
      <c r="AB79" s="64">
        <f>VLOOKUP(AA74,'Экономический эффект'!$B$9:$F$179,5,FALSE)</f>
        <v/>
      </c>
      <c r="AC79" s="4" t="n"/>
      <c r="AD79" s="4" t="n"/>
      <c r="AE79" s="4" t="n"/>
      <c r="AF79" s="129">
        <f>VLOOKUP(AF74,'Экономический эффект'!$B$9:$F$179,4,FALSE)</f>
        <v/>
      </c>
      <c r="AG79" s="130">
        <f>VLOOKUP(AF74,'Экономический эффект'!$B$9:$F$179,5,FALSE)</f>
        <v/>
      </c>
      <c r="AH79" s="4" t="n"/>
      <c r="AI79" s="4" t="n"/>
      <c r="AJ79" s="4" t="n"/>
      <c r="AK79" s="131">
        <f>VLOOKUP(AK74,'Экономический эффект'!$B$9:$F$179,4,FALSE)</f>
        <v/>
      </c>
      <c r="AL79" s="132">
        <f>VLOOKUP(AK74,'Экономический эффект'!$B$9:$F$179,5,FALSE)</f>
        <v/>
      </c>
    </row>
    <row r="80" ht="15" customHeight="1" thickBot="1" thickTop="1">
      <c r="F80" s="45" t="n"/>
      <c r="Q80" s="563" t="n"/>
      <c r="R80" s="611" t="n"/>
      <c r="AA80" s="103" t="inlineStr">
        <is>
          <t>Эффект</t>
        </is>
      </c>
      <c r="AB80" s="104">
        <f>AA79-AB79</f>
        <v/>
      </c>
      <c r="AC80" s="4" t="n"/>
      <c r="AD80" s="4" t="n"/>
      <c r="AE80" s="4" t="n"/>
      <c r="AF80" s="103" t="inlineStr">
        <is>
          <t>Эффект</t>
        </is>
      </c>
      <c r="AG80" s="772">
        <f>AF79-AG79</f>
        <v/>
      </c>
      <c r="AH80" s="4" t="n"/>
      <c r="AI80" s="4" t="n"/>
      <c r="AJ80" s="4" t="n"/>
      <c r="AK80" s="103" t="inlineStr">
        <is>
          <t>Эффект</t>
        </is>
      </c>
      <c r="AL80" s="104">
        <f>AL79-AK79</f>
        <v/>
      </c>
    </row>
    <row r="81" ht="15" customHeight="1" thickTop="1">
      <c r="F81" s="45" t="n"/>
      <c r="L81" s="611" t="n"/>
    </row>
    <row r="82" ht="15.5" customHeight="1" thickBot="1">
      <c r="F82" s="45" t="n"/>
    </row>
    <row r="83" ht="16.25" customHeight="1" thickBot="1">
      <c r="F83" s="45" t="n"/>
      <c r="I83" s="47" t="n"/>
      <c r="J83" s="47" t="n"/>
      <c r="K83" s="47" t="n"/>
      <c r="L83" s="47" t="n"/>
      <c r="M83" s="48" t="n"/>
      <c r="N83" s="47" t="n"/>
      <c r="O83" s="47" t="n"/>
      <c r="P83" s="47" t="n"/>
      <c r="Q83" s="47" t="n"/>
      <c r="R83" s="48" t="n"/>
      <c r="S83" s="47" t="n"/>
      <c r="T83" s="47" t="n"/>
      <c r="U83" s="47" t="n"/>
      <c r="V83" s="47" t="n"/>
      <c r="W83" s="48" t="n"/>
      <c r="X83" s="47" t="n"/>
      <c r="Y83" s="47" t="n"/>
      <c r="Z83" s="47" t="n"/>
      <c r="AA83" s="47" t="n"/>
      <c r="AB83" s="47" t="n"/>
      <c r="AC83" s="47" t="n"/>
      <c r="AD83" s="47" t="n"/>
      <c r="AE83" s="47" t="n"/>
      <c r="AF83" s="47" t="n"/>
      <c r="AG83" s="47" t="n"/>
      <c r="AH83" s="47" t="n"/>
    </row>
    <row r="84" ht="15.5" customHeight="1" thickTop="1">
      <c r="F84" s="45" t="n"/>
      <c r="L84" s="774" t="inlineStr">
        <is>
          <t>ПР1.2</t>
        </is>
      </c>
      <c r="M84" s="775" t="n"/>
      <c r="Q84" s="562" t="n"/>
      <c r="S84" s="4" t="n"/>
      <c r="T84" s="4" t="n"/>
      <c r="U84" s="4" t="n"/>
      <c r="V84" s="562" t="n"/>
      <c r="AA84" s="562" t="n"/>
      <c r="AC84" s="32" t="n"/>
      <c r="AD84" s="32" t="n"/>
      <c r="AE84" s="32" t="n"/>
      <c r="AF84" s="32" t="n"/>
      <c r="AG84" s="32" t="n"/>
      <c r="AH84" s="32" t="n"/>
    </row>
    <row r="85" ht="27" customHeight="1">
      <c r="F85" s="45" t="n"/>
      <c r="L85" s="776" t="inlineStr">
        <is>
          <t>Ремонт произв. оборуд. и зданий</t>
        </is>
      </c>
      <c r="M85" s="777" t="n"/>
      <c r="Q85" s="563" t="n"/>
      <c r="S85" s="4" t="n"/>
      <c r="T85" s="4" t="n"/>
      <c r="U85" s="4" t="n"/>
      <c r="V85" s="563" t="n"/>
      <c r="AA85" s="563" t="n"/>
      <c r="AC85" s="33" t="n"/>
      <c r="AD85" s="33" t="n"/>
      <c r="AE85" s="33" t="n"/>
      <c r="AF85" s="33" t="n"/>
      <c r="AG85" s="33" t="n"/>
      <c r="AH85" s="33" t="n"/>
    </row>
    <row r="86" ht="19.25" customHeight="1" thickBot="1">
      <c r="F86" s="45" t="n"/>
      <c r="L86" s="778" t="inlineStr">
        <is>
          <t>руб.</t>
        </is>
      </c>
      <c r="M86" s="777" t="n"/>
      <c r="N86" s="629" t="n"/>
      <c r="Q86" s="562" t="n"/>
      <c r="S86" s="537" t="n"/>
      <c r="V86" s="562" t="n"/>
      <c r="X86" s="537" t="n"/>
      <c r="AA86" s="562" t="n"/>
      <c r="AC86" s="32" t="n"/>
      <c r="AD86" s="32" t="n"/>
      <c r="AE86" s="32" t="n"/>
      <c r="AF86" s="779" t="n"/>
      <c r="AG86" s="32" t="n"/>
      <c r="AH86" s="32" t="n"/>
    </row>
    <row r="87" ht="26" customHeight="1" thickTop="1">
      <c r="F87" s="45" t="n"/>
      <c r="K87" s="16" t="n"/>
      <c r="L87" s="139" t="inlineStr">
        <is>
          <t>Главный инженер</t>
        </is>
      </c>
      <c r="M87" s="140" t="inlineStr">
        <is>
          <t>Начальник ОТОиР</t>
        </is>
      </c>
      <c r="N87" s="17" t="n"/>
      <c r="Q87" s="562" t="n"/>
      <c r="R87" s="562" t="n"/>
      <c r="S87" s="4" t="n"/>
      <c r="T87" s="4" t="n"/>
      <c r="U87" s="4" t="n"/>
      <c r="V87" s="562" t="n"/>
      <c r="W87" s="562" t="n"/>
      <c r="AA87" s="562" t="n"/>
      <c r="AB87" s="562" t="n"/>
      <c r="AC87" s="32" t="n"/>
      <c r="AD87" s="32" t="n"/>
      <c r="AE87" s="32" t="n"/>
      <c r="AF87" s="779" t="n"/>
      <c r="AG87" s="32" t="n"/>
      <c r="AH87" s="32" t="n"/>
    </row>
    <row r="88" ht="14.75" customHeight="1">
      <c r="F88" s="45" t="n"/>
      <c r="K88" s="17" t="n"/>
      <c r="L88" s="139" t="inlineStr">
        <is>
          <t>До проекта</t>
        </is>
      </c>
      <c r="M88" s="140" t="inlineStr">
        <is>
          <t>После проекта</t>
        </is>
      </c>
      <c r="Q88" s="562" t="n"/>
      <c r="R88" s="562" t="n"/>
      <c r="S88" s="4" t="n"/>
      <c r="T88" s="4" t="n"/>
      <c r="U88" s="4" t="n"/>
      <c r="V88" s="562" t="n"/>
      <c r="W88" s="562" t="n"/>
      <c r="AA88" s="562" t="n"/>
      <c r="AB88" s="562" t="n"/>
      <c r="AC88" s="562" t="n"/>
      <c r="AD88" s="562" t="n"/>
      <c r="AE88" s="562" t="n"/>
      <c r="AF88" s="767" t="n"/>
      <c r="AG88" s="562" t="n"/>
      <c r="AH88" s="562" t="n"/>
    </row>
    <row r="89" ht="14.75" customHeight="1" thickBot="1">
      <c r="F89" s="45" t="n"/>
      <c r="K89" s="17" t="n"/>
      <c r="L89" s="65">
        <f>VLOOKUP(L84,'Экономический эффект'!$B$9:$F$179,4,FALSE)</f>
        <v/>
      </c>
      <c r="M89" s="68">
        <f>VLOOKUP(L84,'Экономический эффект'!$B$9:$F$179,5,FALSE)</f>
        <v/>
      </c>
      <c r="Q89" s="99" t="n"/>
      <c r="R89" s="99" t="n"/>
      <c r="S89" s="4" t="n"/>
      <c r="T89" s="4" t="n"/>
      <c r="U89" s="4" t="n"/>
      <c r="V89" s="99" t="n"/>
      <c r="W89" s="99" t="n"/>
      <c r="AA89" s="99" t="n"/>
      <c r="AB89" s="99" t="n"/>
      <c r="AC89" s="562" t="n"/>
      <c r="AD89" s="562" t="n"/>
      <c r="AE89" s="562" t="n"/>
      <c r="AF89" s="562" t="n"/>
      <c r="AG89" s="562" t="n"/>
      <c r="AH89" s="562" t="n"/>
    </row>
    <row r="90" ht="15" customHeight="1" thickBot="1" thickTop="1">
      <c r="F90" s="45" t="n"/>
      <c r="K90" s="152" t="n"/>
      <c r="L90" s="107" t="inlineStr">
        <is>
          <t>Эффект</t>
        </is>
      </c>
      <c r="M90" s="108">
        <f>L89-M89</f>
        <v/>
      </c>
      <c r="N90" s="17" t="n"/>
      <c r="Q90" s="563" t="n"/>
      <c r="R90" s="611" t="n"/>
      <c r="V90" s="563" t="n"/>
      <c r="W90" s="611" t="n"/>
      <c r="AA90" s="563" t="n"/>
      <c r="AB90" s="611" t="n"/>
    </row>
    <row r="91" ht="15" customHeight="1" thickBot="1" thickTop="1">
      <c r="F91" s="45" t="n"/>
      <c r="K91" s="17" t="n"/>
      <c r="L91" s="548" t="inlineStr">
        <is>
          <t>+</t>
        </is>
      </c>
      <c r="M91" s="19" t="n"/>
      <c r="Q91" s="563" t="n"/>
      <c r="R91" s="611" t="n"/>
      <c r="V91" s="563" t="n"/>
      <c r="W91" s="611" t="n"/>
      <c r="AA91" s="563" t="n"/>
      <c r="AB91" s="611" t="n"/>
    </row>
    <row r="92" ht="15.5" customHeight="1" thickTop="1">
      <c r="F92" s="45" t="n"/>
      <c r="K92" s="17" t="n"/>
      <c r="Q92" s="774" t="inlineStr">
        <is>
          <t>ПР3.1</t>
        </is>
      </c>
      <c r="R92" s="775" t="n"/>
      <c r="V92" s="780" t="inlineStr">
        <is>
          <t>ПР3.1.1</t>
        </is>
      </c>
      <c r="W92" s="781" t="n"/>
      <c r="X92" s="4" t="n"/>
      <c r="Y92" s="4" t="n"/>
      <c r="Z92" s="4" t="n"/>
      <c r="AA92" s="780" t="inlineStr">
        <is>
          <t>ПР3.1.2</t>
        </is>
      </c>
      <c r="AB92" s="781" t="n"/>
      <c r="AC92" s="32" t="n"/>
      <c r="AD92" s="32" t="n"/>
      <c r="AE92" s="32" t="n"/>
      <c r="AF92" s="32" t="n"/>
      <c r="AG92" s="32" t="n"/>
      <c r="AH92" s="32" t="n"/>
    </row>
    <row r="93" ht="27" customHeight="1">
      <c r="F93" s="45" t="n"/>
      <c r="K93" s="17" t="n"/>
      <c r="Q93" s="776" t="inlineStr">
        <is>
          <t>Электроэнергия</t>
        </is>
      </c>
      <c r="R93" s="777" t="n"/>
      <c r="V93" s="782" t="inlineStr">
        <is>
          <t>Объем потребления</t>
        </is>
      </c>
      <c r="W93" s="783" t="n"/>
      <c r="X93" s="4" t="n"/>
      <c r="Y93" s="4" t="n"/>
      <c r="Z93" s="4" t="n"/>
      <c r="AA93" s="782" t="inlineStr">
        <is>
          <t>Тариф</t>
        </is>
      </c>
      <c r="AB93" s="783" t="n"/>
      <c r="AC93" s="33" t="n"/>
      <c r="AD93" s="33" t="n"/>
      <c r="AE93" s="33" t="n"/>
      <c r="AF93" s="33" t="n"/>
      <c r="AG93" s="33" t="n"/>
      <c r="AH93" s="33" t="n"/>
    </row>
    <row r="94" ht="19.25" customHeight="1" thickBot="1">
      <c r="F94" s="45" t="n"/>
      <c r="K94" s="17" t="n"/>
      <c r="N94" s="537" t="n"/>
      <c r="Q94" s="778" t="inlineStr">
        <is>
          <t>руб.</t>
        </is>
      </c>
      <c r="R94" s="777" t="n"/>
      <c r="S94" s="784" t="inlineStr">
        <is>
          <t>=</t>
        </is>
      </c>
      <c r="T94" s="785" t="n"/>
      <c r="U94" s="786" t="n"/>
      <c r="V94" s="787" t="inlineStr">
        <is>
          <t>кВт</t>
        </is>
      </c>
      <c r="W94" s="783" t="n"/>
      <c r="X94" s="788" t="inlineStr">
        <is>
          <t>х</t>
        </is>
      </c>
      <c r="Y94" s="785" t="n"/>
      <c r="Z94" s="786" t="n"/>
      <c r="AA94" s="787" t="inlineStr">
        <is>
          <t>руб./КвтЧ</t>
        </is>
      </c>
      <c r="AB94" s="783" t="n"/>
      <c r="AC94" s="32" t="n"/>
      <c r="AD94" s="32" t="n"/>
      <c r="AE94" s="32" t="n"/>
      <c r="AF94" s="32" t="n"/>
      <c r="AG94" s="32" t="n"/>
      <c r="AH94" s="32" t="n"/>
    </row>
    <row r="95" ht="26" customHeight="1" thickTop="1">
      <c r="F95" s="45" t="n"/>
      <c r="K95" s="17" t="n"/>
      <c r="P95" s="16" t="n"/>
      <c r="Q95" s="139" t="inlineStr">
        <is>
          <t>Главный инженер</t>
        </is>
      </c>
      <c r="R95" s="140" t="n"/>
      <c r="S95" s="20" t="n"/>
      <c r="T95" s="21" t="n"/>
      <c r="U95" s="21" t="n"/>
      <c r="V95" s="787" t="n"/>
      <c r="W95" s="783" t="n"/>
      <c r="X95" s="15" t="n"/>
      <c r="Y95" s="15" t="n"/>
      <c r="Z95" s="15" t="n"/>
      <c r="AA95" s="543" t="n"/>
      <c r="AB95" s="138" t="n"/>
      <c r="AC95" s="32" t="n"/>
      <c r="AD95" s="32" t="n"/>
      <c r="AE95" s="32" t="n"/>
      <c r="AF95" s="32" t="n"/>
      <c r="AG95" s="32" t="n"/>
      <c r="AH95" s="32" t="n"/>
    </row>
    <row r="96" ht="14.75" customHeight="1">
      <c r="F96" s="45" t="n"/>
      <c r="K96" s="17" t="n"/>
      <c r="P96" s="17" t="n"/>
      <c r="Q96" s="139" t="inlineStr">
        <is>
          <t>До проекта</t>
        </is>
      </c>
      <c r="R96" s="140" t="inlineStr">
        <is>
          <t>После проекта</t>
        </is>
      </c>
      <c r="V96" s="137" t="inlineStr">
        <is>
          <t>До проекта</t>
        </is>
      </c>
      <c r="W96" s="138" t="inlineStr">
        <is>
          <t>После проекта</t>
        </is>
      </c>
      <c r="X96" s="4" t="n"/>
      <c r="Y96" s="4" t="n"/>
      <c r="Z96" s="4" t="n"/>
      <c r="AA96" s="137" t="inlineStr">
        <is>
          <t>До проекта</t>
        </is>
      </c>
      <c r="AB96" s="138" t="inlineStr">
        <is>
          <t>После проекта</t>
        </is>
      </c>
      <c r="AC96" s="562" t="n"/>
      <c r="AD96" s="562" t="n"/>
      <c r="AE96" s="562" t="n"/>
      <c r="AF96" s="562" t="n"/>
      <c r="AG96" s="562" t="n"/>
      <c r="AH96" s="562" t="n"/>
    </row>
    <row r="97" ht="14.75" customHeight="1" thickBot="1">
      <c r="F97" s="45" t="n"/>
      <c r="K97" s="17" t="n"/>
      <c r="P97" s="17" t="n"/>
      <c r="Q97" s="65">
        <f>VLOOKUP(Q92,'Экономический эффект'!$B$9:$F$179,4,FALSE)</f>
        <v/>
      </c>
      <c r="R97" s="66">
        <f>VLOOKUP(Q92,'Экономический эффект'!$B$9:$F$179,5,FALSE)</f>
        <v/>
      </c>
      <c r="V97" s="67">
        <f>VLOOKUP(V92,'Экономический эффект'!$B$9:$F$179,4,FALSE)</f>
        <v/>
      </c>
      <c r="W97" s="68">
        <f>VLOOKUP(V92,'Экономический эффект'!$B$9:$F$179,5,FALSE)</f>
        <v/>
      </c>
      <c r="X97" s="4" t="n"/>
      <c r="Y97" s="4" t="n"/>
      <c r="Z97" s="4" t="n"/>
      <c r="AA97" s="67">
        <f>VLOOKUP(AA92,'Экономический эффект'!$B$9:$F$179,4,FALSE)</f>
        <v/>
      </c>
      <c r="AB97" s="68">
        <f>VLOOKUP(AA92,'Экономический эффект'!$B$9:$F$179,5,FALSE)</f>
        <v/>
      </c>
      <c r="AC97" s="562" t="n"/>
      <c r="AD97" s="562" t="n"/>
      <c r="AE97" s="562" t="n"/>
      <c r="AF97" s="562" t="n"/>
      <c r="AG97" s="562" t="n"/>
      <c r="AH97" s="562" t="n"/>
    </row>
    <row r="98" ht="15" customHeight="1" thickBot="1" thickTop="1">
      <c r="F98" s="45" t="n"/>
      <c r="K98" s="17" t="n"/>
      <c r="P98" s="17" t="n"/>
      <c r="Q98" s="153" t="inlineStr">
        <is>
          <t>Эффект</t>
        </is>
      </c>
      <c r="R98" s="154">
        <f>Q97-R97</f>
        <v/>
      </c>
      <c r="V98" s="107" t="inlineStr">
        <is>
          <t>Эффект</t>
        </is>
      </c>
      <c r="W98" s="108">
        <f>V97-W97</f>
        <v/>
      </c>
      <c r="AA98" s="107" t="inlineStr">
        <is>
          <t>Эффект</t>
        </is>
      </c>
      <c r="AB98" s="108">
        <f>AB97-AA97</f>
        <v/>
      </c>
    </row>
    <row r="99" ht="16.25" customHeight="1" thickBot="1" thickTop="1">
      <c r="F99" s="45" t="n"/>
      <c r="K99" s="17" t="n"/>
      <c r="P99" s="17" t="n"/>
      <c r="Q99" s="548" t="inlineStr">
        <is>
          <t>+</t>
        </is>
      </c>
      <c r="R99" s="789" t="n"/>
    </row>
    <row r="100" ht="15.5" customHeight="1" thickTop="1">
      <c r="F100" s="45" t="n"/>
      <c r="K100" s="17" t="n"/>
      <c r="P100" s="17" t="n"/>
      <c r="Q100" s="774" t="inlineStr">
        <is>
          <t>ПР3.2</t>
        </is>
      </c>
      <c r="R100" s="775" t="n"/>
      <c r="V100" s="780" t="inlineStr">
        <is>
          <t>ПР3.2.1</t>
        </is>
      </c>
      <c r="W100" s="781" t="n"/>
      <c r="X100" s="4" t="n"/>
      <c r="Y100" s="4" t="n"/>
      <c r="Z100" s="4" t="n"/>
      <c r="AA100" s="780" t="inlineStr">
        <is>
          <t>ПР3.2.2</t>
        </is>
      </c>
      <c r="AB100" s="781" t="n"/>
      <c r="AC100" s="32" t="n"/>
      <c r="AD100" s="32" t="n"/>
      <c r="AE100" s="32" t="n"/>
      <c r="AF100" s="32" t="n"/>
      <c r="AG100" s="32" t="n"/>
      <c r="AH100" s="32" t="n"/>
    </row>
    <row r="101" ht="27" customHeight="1">
      <c r="F101" s="45" t="n"/>
      <c r="K101" s="17" t="n"/>
      <c r="P101" s="17" t="n"/>
      <c r="Q101" s="776" t="inlineStr">
        <is>
          <t>Вода</t>
        </is>
      </c>
      <c r="R101" s="777" t="n"/>
      <c r="V101" s="782" t="inlineStr">
        <is>
          <t>Объем потребления</t>
        </is>
      </c>
      <c r="W101" s="783" t="n"/>
      <c r="X101" s="4" t="n"/>
      <c r="Y101" s="4" t="n"/>
      <c r="Z101" s="4" t="n"/>
      <c r="AA101" s="782" t="inlineStr">
        <is>
          <t>Тариф</t>
        </is>
      </c>
      <c r="AB101" s="783" t="n"/>
      <c r="AC101" s="33" t="n"/>
      <c r="AD101" s="33" t="n"/>
      <c r="AE101" s="33" t="n"/>
      <c r="AF101" s="33" t="n"/>
      <c r="AG101" s="33" t="n"/>
      <c r="AH101" s="33" t="n"/>
    </row>
    <row r="102" ht="19.25" customHeight="1" thickBot="1">
      <c r="F102" s="45" t="n"/>
      <c r="K102" s="17" t="n"/>
      <c r="N102" s="537" t="n"/>
      <c r="P102" s="18" t="n"/>
      <c r="Q102" s="778" t="inlineStr">
        <is>
          <t>руб.</t>
        </is>
      </c>
      <c r="R102" s="777" t="n"/>
      <c r="S102" s="784" t="inlineStr">
        <is>
          <t>=</t>
        </is>
      </c>
      <c r="T102" s="785" t="n"/>
      <c r="U102" s="786" t="n"/>
      <c r="V102" s="787" t="inlineStr">
        <is>
          <t>м3</t>
        </is>
      </c>
      <c r="W102" s="783" t="n"/>
      <c r="X102" s="788" t="inlineStr">
        <is>
          <t>х</t>
        </is>
      </c>
      <c r="Y102" s="785" t="n"/>
      <c r="Z102" s="786" t="n"/>
      <c r="AA102" s="787" t="inlineStr">
        <is>
          <t xml:space="preserve"> руб./м3</t>
        </is>
      </c>
      <c r="AB102" s="783" t="n"/>
      <c r="AC102" s="32" t="n"/>
      <c r="AD102" s="32" t="n"/>
      <c r="AE102" s="32" t="n"/>
      <c r="AF102" s="32" t="n"/>
      <c r="AG102" s="32" t="n"/>
      <c r="AH102" s="32" t="n"/>
    </row>
    <row r="103" ht="26" customHeight="1" thickTop="1">
      <c r="F103" s="45" t="n"/>
      <c r="K103" s="17" t="n"/>
      <c r="P103" s="16" t="n"/>
      <c r="Q103" s="139" t="inlineStr">
        <is>
          <t>Главный инженер</t>
        </is>
      </c>
      <c r="R103" s="140" t="n"/>
      <c r="S103" s="20" t="n"/>
      <c r="T103" s="21" t="n"/>
      <c r="U103" s="21" t="n"/>
      <c r="V103" s="787" t="n"/>
      <c r="W103" s="783" t="n"/>
      <c r="X103" s="15" t="n"/>
      <c r="Y103" s="15" t="n"/>
      <c r="Z103" s="15" t="n"/>
      <c r="AA103" s="543" t="n"/>
      <c r="AB103" s="138" t="n"/>
      <c r="AC103" s="32" t="n"/>
      <c r="AD103" s="32" t="n"/>
      <c r="AE103" s="32" t="n"/>
      <c r="AF103" s="32" t="n"/>
      <c r="AG103" s="32" t="n"/>
      <c r="AH103" s="32" t="n"/>
    </row>
    <row r="104" ht="14.75" customHeight="1">
      <c r="F104" s="45" t="n"/>
      <c r="K104" s="17" t="n"/>
      <c r="P104" s="17" t="n"/>
      <c r="Q104" s="139" t="inlineStr">
        <is>
          <t>До проекта</t>
        </is>
      </c>
      <c r="R104" s="140" t="inlineStr">
        <is>
          <t>После проекта</t>
        </is>
      </c>
      <c r="V104" s="137" t="inlineStr">
        <is>
          <t>До проекта</t>
        </is>
      </c>
      <c r="W104" s="138" t="inlineStr">
        <is>
          <t>После проекта</t>
        </is>
      </c>
      <c r="X104" s="4" t="n"/>
      <c r="Y104" s="4" t="n"/>
      <c r="Z104" s="4" t="n"/>
      <c r="AA104" s="137" t="inlineStr">
        <is>
          <t>До проекта</t>
        </is>
      </c>
      <c r="AB104" s="138" t="inlineStr">
        <is>
          <t>После проекта</t>
        </is>
      </c>
      <c r="AC104" s="562" t="n"/>
      <c r="AD104" s="562" t="n"/>
      <c r="AE104" s="562" t="n"/>
      <c r="AF104" s="562" t="n"/>
      <c r="AG104" s="562" t="n"/>
      <c r="AH104" s="562" t="n"/>
    </row>
    <row r="105" ht="14.75" customHeight="1" thickBot="1">
      <c r="F105" s="45" t="n"/>
      <c r="K105" s="17" t="n"/>
      <c r="P105" s="17" t="n"/>
      <c r="Q105" s="65">
        <f>VLOOKUP(Q100,'Экономический эффект'!$B$9:$F$179,4,FALSE)</f>
        <v/>
      </c>
      <c r="R105" s="66">
        <f>VLOOKUP(Q100,'Экономический эффект'!$B$9:$F$179,5,FALSE)</f>
        <v/>
      </c>
      <c r="V105" s="67">
        <f>VLOOKUP(V100,'Экономический эффект'!$B$9:$F$179,4,FALSE)</f>
        <v/>
      </c>
      <c r="W105" s="68">
        <f>VLOOKUP(V100,'Экономический эффект'!$B$9:$F$179,5,FALSE)</f>
        <v/>
      </c>
      <c r="X105" s="4" t="n"/>
      <c r="Y105" s="4" t="n"/>
      <c r="Z105" s="4" t="n"/>
      <c r="AA105" s="67">
        <f>VLOOKUP(AA100,'Экономический эффект'!$B$9:$F$179,4,FALSE)</f>
        <v/>
      </c>
      <c r="AB105" s="68">
        <f>VLOOKUP(AA100,'Экономический эффект'!$B$9:$F$179,5,FALSE)</f>
        <v/>
      </c>
      <c r="AC105" s="562" t="n"/>
      <c r="AD105" s="562" t="n"/>
      <c r="AE105" s="562" t="n"/>
      <c r="AF105" s="562" t="n"/>
      <c r="AG105" s="562" t="n"/>
      <c r="AH105" s="562" t="n"/>
    </row>
    <row r="106" ht="15" customHeight="1" thickBot="1" thickTop="1">
      <c r="F106" s="45" t="n"/>
      <c r="K106" s="17" t="n"/>
      <c r="P106" s="17" t="n"/>
      <c r="Q106" s="153" t="inlineStr">
        <is>
          <t>Эффект</t>
        </is>
      </c>
      <c r="R106" s="154">
        <f>Q105-R105</f>
        <v/>
      </c>
      <c r="V106" s="107" t="inlineStr">
        <is>
          <t>Эффект</t>
        </is>
      </c>
      <c r="W106" s="108">
        <f>V105-W105</f>
        <v/>
      </c>
      <c r="AA106" s="107" t="inlineStr">
        <is>
          <t>Эффект</t>
        </is>
      </c>
      <c r="AB106" s="108">
        <f>AB105-AA105</f>
        <v/>
      </c>
    </row>
    <row r="107" ht="16.25" customHeight="1" thickBot="1" thickTop="1">
      <c r="F107" s="45" t="n"/>
      <c r="K107" s="17" t="n"/>
      <c r="L107" s="790" t="n"/>
      <c r="M107" s="790" t="n"/>
      <c r="P107" s="17" t="n"/>
      <c r="Q107" s="548" t="inlineStr">
        <is>
          <t>+</t>
        </is>
      </c>
      <c r="R107" s="789" t="n"/>
    </row>
    <row r="108" ht="15.5" customHeight="1" thickTop="1">
      <c r="F108" s="45" t="n"/>
      <c r="K108" s="17" t="n"/>
      <c r="L108" s="774" t="inlineStr">
        <is>
          <t>ПР3</t>
        </is>
      </c>
      <c r="M108" s="775" t="n"/>
      <c r="P108" s="17" t="n"/>
      <c r="Q108" s="774" t="inlineStr">
        <is>
          <t>ПР3.3</t>
        </is>
      </c>
      <c r="R108" s="775" t="n"/>
      <c r="V108" s="780" t="inlineStr">
        <is>
          <t>ПР3.3.1</t>
        </is>
      </c>
      <c r="W108" s="781" t="n"/>
      <c r="X108" s="4" t="n"/>
      <c r="Y108" s="4" t="n"/>
      <c r="Z108" s="4" t="n"/>
      <c r="AA108" s="780" t="inlineStr">
        <is>
          <t>ПР3.3.2</t>
        </is>
      </c>
      <c r="AB108" s="781" t="n"/>
      <c r="AC108" s="32" t="n"/>
      <c r="AD108" s="32" t="n"/>
      <c r="AE108" s="32" t="n"/>
      <c r="AF108" s="32" t="n"/>
      <c r="AG108" s="32" t="n"/>
      <c r="AH108" s="32" t="n"/>
    </row>
    <row r="109" ht="27" customHeight="1">
      <c r="F109" s="45" t="n"/>
      <c r="K109" s="17" t="n"/>
      <c r="L109" s="776" t="inlineStr">
        <is>
          <t>Коммунальные расходы</t>
        </is>
      </c>
      <c r="M109" s="777" t="n"/>
      <c r="P109" s="17" t="n"/>
      <c r="Q109" s="776" t="inlineStr">
        <is>
          <t>Газ</t>
        </is>
      </c>
      <c r="R109" s="777" t="n"/>
      <c r="V109" s="782" t="inlineStr">
        <is>
          <t>Объем потребления</t>
        </is>
      </c>
      <c r="W109" s="783" t="n"/>
      <c r="X109" s="4" t="n"/>
      <c r="Y109" s="4" t="n"/>
      <c r="Z109" s="4" t="n"/>
      <c r="AA109" s="782" t="inlineStr">
        <is>
          <t>Тариф</t>
        </is>
      </c>
      <c r="AB109" s="783" t="n"/>
      <c r="AC109" s="33" t="n"/>
      <c r="AD109" s="33" t="n"/>
      <c r="AE109" s="33" t="n"/>
      <c r="AF109" s="33" t="n"/>
      <c r="AG109" s="33" t="n"/>
      <c r="AH109" s="33" t="n"/>
    </row>
    <row r="110" ht="19.25" customHeight="1" thickBot="1">
      <c r="F110" s="45" t="n"/>
      <c r="K110" s="18" t="n"/>
      <c r="L110" s="778" t="inlineStr">
        <is>
          <t>руб.</t>
        </is>
      </c>
      <c r="M110" s="777" t="n"/>
      <c r="N110" s="551" t="inlineStr">
        <is>
          <t>=</t>
        </is>
      </c>
      <c r="O110" s="790" t="n"/>
      <c r="P110" s="18" t="n"/>
      <c r="Q110" s="778" t="inlineStr">
        <is>
          <t>руб.</t>
        </is>
      </c>
      <c r="R110" s="777" t="n"/>
      <c r="S110" s="784" t="inlineStr">
        <is>
          <t>=</t>
        </is>
      </c>
      <c r="T110" s="785" t="n"/>
      <c r="U110" s="786" t="n"/>
      <c r="V110" s="787" t="inlineStr">
        <is>
          <t>м3</t>
        </is>
      </c>
      <c r="W110" s="783" t="n"/>
      <c r="X110" s="788" t="inlineStr">
        <is>
          <t>х</t>
        </is>
      </c>
      <c r="Y110" s="785" t="n"/>
      <c r="Z110" s="786" t="n"/>
      <c r="AA110" s="787" t="inlineStr">
        <is>
          <t xml:space="preserve"> руб./м3</t>
        </is>
      </c>
      <c r="AB110" s="783" t="n"/>
      <c r="AC110" s="32" t="n"/>
      <c r="AD110" s="32" t="n"/>
      <c r="AE110" s="32" t="n"/>
      <c r="AF110" s="32" t="n"/>
      <c r="AG110" s="32" t="n"/>
      <c r="AH110" s="32" t="n"/>
    </row>
    <row r="111" ht="26" customHeight="1" thickTop="1">
      <c r="F111" s="45" t="n"/>
      <c r="K111" s="16" t="n"/>
      <c r="L111" s="139" t="inlineStr">
        <is>
          <t>Главный инженер</t>
        </is>
      </c>
      <c r="M111" s="140" t="n"/>
      <c r="N111" s="16" t="n"/>
      <c r="O111" s="22" t="n"/>
      <c r="P111" s="16" t="n"/>
      <c r="Q111" s="139" t="inlineStr">
        <is>
          <t>Главный инженер</t>
        </is>
      </c>
      <c r="R111" s="140" t="n"/>
      <c r="S111" s="20" t="n"/>
      <c r="T111" s="21" t="n"/>
      <c r="U111" s="21" t="n"/>
      <c r="V111" s="787" t="n"/>
      <c r="W111" s="783" t="n"/>
      <c r="X111" s="15" t="n"/>
      <c r="Y111" s="15" t="n"/>
      <c r="Z111" s="15" t="n"/>
      <c r="AA111" s="543" t="n"/>
      <c r="AB111" s="138" t="n"/>
      <c r="AC111" s="32" t="n"/>
      <c r="AD111" s="32" t="n"/>
      <c r="AE111" s="32" t="n"/>
      <c r="AF111" s="32" t="n"/>
      <c r="AG111" s="32" t="n"/>
      <c r="AH111" s="32" t="n"/>
    </row>
    <row r="112" ht="14.75" customHeight="1">
      <c r="F112" s="45" t="n"/>
      <c r="K112" s="17" t="n"/>
      <c r="L112" s="139" t="inlineStr">
        <is>
          <t>До проекта</t>
        </is>
      </c>
      <c r="M112" s="140" t="inlineStr">
        <is>
          <t>После проекта</t>
        </is>
      </c>
      <c r="P112" s="17" t="n"/>
      <c r="Q112" s="139" t="inlineStr">
        <is>
          <t>До проекта</t>
        </is>
      </c>
      <c r="R112" s="140" t="inlineStr">
        <is>
          <t>После проекта</t>
        </is>
      </c>
      <c r="V112" s="137" t="inlineStr">
        <is>
          <t>До проекта</t>
        </is>
      </c>
      <c r="W112" s="138" t="inlineStr">
        <is>
          <t>После проекта</t>
        </is>
      </c>
      <c r="X112" s="4" t="n"/>
      <c r="Y112" s="4" t="n"/>
      <c r="Z112" s="4" t="n"/>
      <c r="AA112" s="137" t="inlineStr">
        <is>
          <t>До проекта</t>
        </is>
      </c>
      <c r="AB112" s="138" t="inlineStr">
        <is>
          <t>После проекта</t>
        </is>
      </c>
      <c r="AC112" s="562" t="n"/>
      <c r="AD112" s="562" t="n"/>
      <c r="AE112" s="562" t="n"/>
      <c r="AF112" s="562" t="n"/>
      <c r="AG112" s="562" t="n"/>
      <c r="AH112" s="562" t="n"/>
    </row>
    <row r="113" ht="14.75" customHeight="1" thickBot="1">
      <c r="F113" s="45" t="n"/>
      <c r="K113" s="17" t="n"/>
      <c r="L113" s="65">
        <f>VLOOKUP(L108,'Экономический эффект'!$B$9:$F$179,4,FALSE)</f>
        <v/>
      </c>
      <c r="M113" s="68">
        <f>VLOOKUP(L108,'Экономический эффект'!$B$9:$F$179,5,FALSE)</f>
        <v/>
      </c>
      <c r="P113" s="17" t="n"/>
      <c r="Q113" s="65">
        <f>VLOOKUP(Q108,'Экономический эффект'!$B$9:$F$179,4,FALSE)</f>
        <v/>
      </c>
      <c r="R113" s="66">
        <f>VLOOKUP(Q108,'Экономический эффект'!$B$9:$F$179,5,FALSE)</f>
        <v/>
      </c>
      <c r="V113" s="67">
        <f>VLOOKUP(V108,'Экономический эффект'!$B$9:$F$179,4,FALSE)</f>
        <v/>
      </c>
      <c r="W113" s="68">
        <f>VLOOKUP(V108,'Экономический эффект'!$B$9:$F$179,5,FALSE)</f>
        <v/>
      </c>
      <c r="X113" s="4" t="n"/>
      <c r="Y113" s="4" t="n"/>
      <c r="Z113" s="4" t="n"/>
      <c r="AA113" s="67">
        <f>VLOOKUP(AA108,'Экономический эффект'!$B$9:$F$179,4,FALSE)</f>
        <v/>
      </c>
      <c r="AB113" s="68">
        <f>VLOOKUP(AA108,'Экономический эффект'!$B$9:$F$179,5,FALSE)</f>
        <v/>
      </c>
      <c r="AC113" s="562" t="n"/>
      <c r="AD113" s="562" t="n"/>
      <c r="AE113" s="562" t="n"/>
      <c r="AF113" s="562" t="n"/>
      <c r="AG113" s="562" t="n"/>
      <c r="AH113" s="562" t="n"/>
    </row>
    <row r="114" ht="15" customHeight="1" thickBot="1" thickTop="1">
      <c r="F114" s="45" t="n"/>
      <c r="K114" s="152" t="n"/>
      <c r="L114" s="107" t="inlineStr">
        <is>
          <t>Эффект</t>
        </is>
      </c>
      <c r="M114" s="108">
        <f>L113-M113</f>
        <v/>
      </c>
      <c r="N114" s="17" t="n"/>
      <c r="P114" s="17" t="n"/>
      <c r="Q114" s="107" t="inlineStr">
        <is>
          <t>Эффект</t>
        </is>
      </c>
      <c r="R114" s="108">
        <f>Q113-R113</f>
        <v/>
      </c>
      <c r="V114" s="107" t="inlineStr">
        <is>
          <t>Эффект</t>
        </is>
      </c>
      <c r="W114" s="108">
        <f>V113-W113</f>
        <v/>
      </c>
      <c r="AA114" s="107" t="inlineStr">
        <is>
          <t>Эффект</t>
        </is>
      </c>
      <c r="AB114" s="108">
        <f>AB113-AA113</f>
        <v/>
      </c>
    </row>
    <row r="115" ht="16.25" customHeight="1" thickBot="1" thickTop="1">
      <c r="F115" s="45" t="n"/>
      <c r="K115" s="17" t="n"/>
      <c r="L115" s="548" t="inlineStr">
        <is>
          <t>+</t>
        </is>
      </c>
      <c r="M115" s="19" t="n"/>
      <c r="P115" s="17" t="n"/>
      <c r="Q115" s="548" t="inlineStr">
        <is>
          <t>+</t>
        </is>
      </c>
      <c r="R115" s="789" t="n"/>
    </row>
    <row r="116" ht="15.5" customHeight="1" thickTop="1">
      <c r="F116" s="45" t="n"/>
      <c r="K116" s="17" t="n"/>
      <c r="P116" s="17" t="n"/>
      <c r="Q116" s="774" t="inlineStr">
        <is>
          <t>ПР3.4</t>
        </is>
      </c>
      <c r="R116" s="775" t="n"/>
      <c r="V116" s="780" t="inlineStr">
        <is>
          <t>ПР3.4.1</t>
        </is>
      </c>
      <c r="W116" s="781" t="n"/>
      <c r="X116" s="4" t="n"/>
      <c r="Y116" s="4" t="n"/>
      <c r="Z116" s="4" t="n"/>
      <c r="AA116" s="780" t="inlineStr">
        <is>
          <t>ПР3.4.1</t>
        </is>
      </c>
      <c r="AB116" s="781" t="n"/>
      <c r="AC116" s="32" t="n"/>
      <c r="AD116" s="32" t="n"/>
      <c r="AE116" s="32" t="n"/>
      <c r="AF116" s="32" t="n"/>
      <c r="AG116" s="32" t="n"/>
      <c r="AH116" s="32" t="n"/>
    </row>
    <row r="117" ht="27" customHeight="1">
      <c r="F117" s="45" t="n"/>
      <c r="K117" s="17" t="n"/>
      <c r="P117" s="17" t="n"/>
      <c r="Q117" s="776" t="inlineStr">
        <is>
          <t>Тепло</t>
        </is>
      </c>
      <c r="R117" s="777" t="n"/>
      <c r="V117" s="782" t="inlineStr">
        <is>
          <t>Объем потребления</t>
        </is>
      </c>
      <c r="W117" s="783" t="n"/>
      <c r="X117" s="4" t="n"/>
      <c r="Y117" s="4" t="n"/>
      <c r="Z117" s="4" t="n"/>
      <c r="AA117" s="782" t="inlineStr">
        <is>
          <t>Тариф</t>
        </is>
      </c>
      <c r="AB117" s="783" t="n"/>
      <c r="AC117" s="33" t="n"/>
      <c r="AD117" s="33" t="n"/>
      <c r="AE117" s="33" t="n"/>
      <c r="AF117" s="33" t="n"/>
      <c r="AG117" s="33" t="n"/>
      <c r="AH117" s="33" t="n"/>
    </row>
    <row r="118" ht="19.25" customHeight="1" thickBot="1">
      <c r="F118" s="45" t="n"/>
      <c r="K118" s="17" t="n"/>
      <c r="N118" s="537" t="n"/>
      <c r="P118" s="18" t="n"/>
      <c r="Q118" s="778" t="inlineStr">
        <is>
          <t>руб.</t>
        </is>
      </c>
      <c r="R118" s="777" t="n"/>
      <c r="S118" s="784" t="inlineStr">
        <is>
          <t>=</t>
        </is>
      </c>
      <c r="T118" s="785" t="n"/>
      <c r="U118" s="786" t="n"/>
      <c r="V118" s="787" t="inlineStr">
        <is>
          <t>Гкал</t>
        </is>
      </c>
      <c r="W118" s="783" t="n"/>
      <c r="X118" s="788" t="inlineStr">
        <is>
          <t>х</t>
        </is>
      </c>
      <c r="Y118" s="785" t="n"/>
      <c r="Z118" s="786" t="n"/>
      <c r="AA118" s="787" t="inlineStr">
        <is>
          <t>руб./Гкал</t>
        </is>
      </c>
      <c r="AB118" s="783" t="n"/>
      <c r="AC118" s="32" t="n"/>
      <c r="AD118" s="32" t="n"/>
      <c r="AE118" s="32" t="n"/>
      <c r="AF118" s="32" t="n"/>
      <c r="AG118" s="32" t="n"/>
      <c r="AH118" s="32" t="n"/>
    </row>
    <row r="119" ht="26" customHeight="1" thickTop="1">
      <c r="F119" s="45" t="n"/>
      <c r="K119" s="17" t="n"/>
      <c r="Q119" s="139" t="inlineStr">
        <is>
          <t>Главный инженер</t>
        </is>
      </c>
      <c r="R119" s="140" t="n"/>
      <c r="S119" s="20" t="n"/>
      <c r="T119" s="21" t="n"/>
      <c r="U119" s="21" t="n"/>
      <c r="V119" s="787" t="n"/>
      <c r="W119" s="783" t="n"/>
      <c r="X119" s="15" t="n"/>
      <c r="Y119" s="15" t="n"/>
      <c r="Z119" s="15" t="n"/>
      <c r="AA119" s="543" t="n"/>
      <c r="AB119" s="138" t="n"/>
      <c r="AC119" s="32" t="n"/>
      <c r="AD119" s="32" t="n"/>
      <c r="AE119" s="32" t="n"/>
      <c r="AF119" s="32" t="n"/>
      <c r="AG119" s="32" t="n"/>
      <c r="AH119" s="32" t="n"/>
    </row>
    <row r="120" ht="14.75" customHeight="1">
      <c r="F120" s="45" t="n"/>
      <c r="K120" s="17" t="n"/>
      <c r="Q120" s="139" t="inlineStr">
        <is>
          <t>До проекта</t>
        </is>
      </c>
      <c r="R120" s="140" t="inlineStr">
        <is>
          <t>После проекта</t>
        </is>
      </c>
      <c r="V120" s="137" t="inlineStr">
        <is>
          <t>До проекта</t>
        </is>
      </c>
      <c r="W120" s="138" t="inlineStr">
        <is>
          <t>После проекта</t>
        </is>
      </c>
      <c r="X120" s="4" t="n"/>
      <c r="Y120" s="4" t="n"/>
      <c r="Z120" s="4" t="n"/>
      <c r="AA120" s="137" t="inlineStr">
        <is>
          <t>До проекта</t>
        </is>
      </c>
      <c r="AB120" s="138" t="inlineStr">
        <is>
          <t>После проекта</t>
        </is>
      </c>
      <c r="AC120" s="562" t="n"/>
      <c r="AD120" s="562" t="n"/>
      <c r="AE120" s="562" t="n"/>
      <c r="AF120" s="562" t="n"/>
      <c r="AG120" s="562" t="n"/>
      <c r="AH120" s="562" t="n"/>
    </row>
    <row r="121" ht="14.75" customHeight="1" thickBot="1">
      <c r="F121" s="45" t="n"/>
      <c r="K121" s="17" t="n"/>
      <c r="Q121" s="65">
        <f>VLOOKUP(Q116,'Экономический эффект'!$B$9:$F$179,4,FALSE)</f>
        <v/>
      </c>
      <c r="R121" s="66">
        <f>VLOOKUP(Q116,'Экономический эффект'!$B$9:$F$179,5,FALSE)</f>
        <v/>
      </c>
      <c r="V121" s="67">
        <f>VLOOKUP(V116,'Экономический эффект'!$B$9:$F$179,4,FALSE)</f>
        <v/>
      </c>
      <c r="W121" s="68">
        <f>VLOOKUP(V116,'Экономический эффект'!$B$9:$F$179,5,FALSE)</f>
        <v/>
      </c>
      <c r="X121" s="4" t="n"/>
      <c r="Y121" s="4" t="n"/>
      <c r="Z121" s="4" t="n"/>
      <c r="AA121" s="67">
        <f>VLOOKUP(AA116,'Экономический эффект'!$B$9:$F$179,4,FALSE)</f>
        <v/>
      </c>
      <c r="AB121" s="68">
        <f>VLOOKUP(AA116,'Экономический эффект'!$B$9:$F$179,5,FALSE)</f>
        <v/>
      </c>
      <c r="AC121" s="562" t="n"/>
      <c r="AD121" s="562" t="n"/>
      <c r="AE121" s="562" t="n"/>
      <c r="AF121" s="562" t="n"/>
      <c r="AG121" s="562" t="n"/>
      <c r="AH121" s="562" t="n"/>
    </row>
    <row r="122" ht="15" customHeight="1" thickBot="1" thickTop="1">
      <c r="F122" s="45" t="n"/>
      <c r="K122" s="17" t="n"/>
      <c r="Q122" s="107" t="inlineStr">
        <is>
          <t>Эффект</t>
        </is>
      </c>
      <c r="R122" s="108">
        <f>Q121-R121</f>
        <v/>
      </c>
      <c r="V122" s="107" t="inlineStr">
        <is>
          <t>Эффект</t>
        </is>
      </c>
      <c r="W122" s="108">
        <f>V121-W121</f>
        <v/>
      </c>
      <c r="AA122" s="107" t="inlineStr">
        <is>
          <t>Эффект</t>
        </is>
      </c>
      <c r="AB122" s="108">
        <f>AB121-AA121</f>
        <v/>
      </c>
    </row>
    <row r="123" ht="15.75" customHeight="1" thickTop="1">
      <c r="F123" s="45" t="n"/>
      <c r="K123" s="17" t="n"/>
      <c r="Q123" s="537" t="n"/>
      <c r="V123" s="537" t="n"/>
      <c r="AA123" s="537" t="n"/>
    </row>
    <row r="124" ht="15" customHeight="1" thickBot="1">
      <c r="A124" s="562" t="n"/>
      <c r="F124" s="45" t="n"/>
      <c r="G124" s="790" t="n"/>
      <c r="H124" s="790" t="n"/>
      <c r="K124" s="17" t="n"/>
      <c r="L124" s="790" t="n"/>
      <c r="M124" s="790" t="n"/>
      <c r="Q124" s="4" t="n"/>
      <c r="R124" s="4" t="n"/>
    </row>
    <row r="125" ht="17.75" customHeight="1" thickTop="1">
      <c r="A125" s="562" t="n"/>
      <c r="F125" s="45" t="n"/>
      <c r="G125" s="774" t="inlineStr">
        <is>
          <t>ПР</t>
        </is>
      </c>
      <c r="H125" s="775" t="n"/>
      <c r="K125" s="17" t="n"/>
      <c r="L125" s="774" t="inlineStr">
        <is>
          <t>ПР1.3</t>
        </is>
      </c>
      <c r="M125" s="775" t="n"/>
      <c r="Q125" s="780" t="inlineStr">
        <is>
          <t>ПР1.3.1</t>
        </is>
      </c>
      <c r="R125" s="781" t="n"/>
      <c r="S125" s="4" t="n"/>
      <c r="T125" s="4" t="n"/>
      <c r="U125" s="4" t="n"/>
      <c r="V125" s="780" t="inlineStr">
        <is>
          <t>ПР1.3.2</t>
        </is>
      </c>
      <c r="W125" s="781" t="n"/>
      <c r="X125" s="4" t="n"/>
      <c r="Y125" s="4" t="n"/>
      <c r="Z125" s="4" t="n"/>
      <c r="AA125" s="780" t="inlineStr">
        <is>
          <t>ПР1.3.3</t>
        </is>
      </c>
      <c r="AB125" s="781" t="n"/>
      <c r="AC125" s="32" t="n"/>
      <c r="AD125" s="32" t="n"/>
      <c r="AE125" s="32" t="n"/>
      <c r="AF125" s="32" t="n"/>
      <c r="AG125" s="32" t="n"/>
      <c r="AH125" s="32" t="n"/>
    </row>
    <row r="126" ht="23.75" customHeight="1">
      <c r="A126" s="562" t="n"/>
      <c r="F126" s="45" t="n"/>
      <c r="G126" s="776" t="inlineStr">
        <is>
          <t>Постоянные расходы</t>
        </is>
      </c>
      <c r="H126" s="777" t="n"/>
      <c r="K126" s="17" t="n"/>
      <c r="L126" s="776" t="inlineStr">
        <is>
          <t>ФОТ и соцотчисления</t>
        </is>
      </c>
      <c r="M126" s="777" t="n"/>
      <c r="Q126" s="782" t="inlineStr">
        <is>
          <t>Количество сотрудников</t>
        </is>
      </c>
      <c r="R126" s="783" t="n"/>
      <c r="S126" s="4" t="n"/>
      <c r="T126" s="4" t="n"/>
      <c r="U126" s="4" t="n"/>
      <c r="V126" s="782" t="inlineStr">
        <is>
          <t>Ставка оплаты</t>
        </is>
      </c>
      <c r="W126" s="783" t="n"/>
      <c r="X126" s="4" t="n"/>
      <c r="Y126" s="4" t="n"/>
      <c r="Z126" s="4" t="n"/>
      <c r="AA126" s="782" t="inlineStr">
        <is>
          <t>Социальные отчисления</t>
        </is>
      </c>
      <c r="AB126" s="783" t="n"/>
      <c r="AC126" s="33" t="n"/>
      <c r="AD126" s="33" t="n"/>
      <c r="AE126" s="33" t="n"/>
      <c r="AF126" s="33" t="n"/>
      <c r="AG126" s="33" t="n"/>
      <c r="AH126" s="33" t="n"/>
    </row>
    <row r="127" ht="17.75" customHeight="1" thickBot="1">
      <c r="F127" s="45" t="n"/>
      <c r="G127" s="778" t="inlineStr">
        <is>
          <t>руб.</t>
        </is>
      </c>
      <c r="H127" s="777" t="n"/>
      <c r="I127" s="551" t="inlineStr">
        <is>
          <t>=</t>
        </is>
      </c>
      <c r="J127" s="790" t="n"/>
      <c r="K127" s="18" t="n"/>
      <c r="L127" s="778" t="inlineStr">
        <is>
          <t>руб.</t>
        </is>
      </c>
      <c r="M127" s="777" t="n"/>
      <c r="N127" s="784" t="inlineStr">
        <is>
          <t>=</t>
        </is>
      </c>
      <c r="O127" s="785" t="n"/>
      <c r="P127" s="786" t="n"/>
      <c r="Q127" s="787" t="inlineStr">
        <is>
          <t>чел.</t>
        </is>
      </c>
      <c r="R127" s="783" t="n"/>
      <c r="S127" s="788" t="inlineStr">
        <is>
          <t>х</t>
        </is>
      </c>
      <c r="T127" s="785" t="n"/>
      <c r="U127" s="786" t="n"/>
      <c r="V127" s="787" t="inlineStr">
        <is>
          <t>руб./год</t>
        </is>
      </c>
      <c r="W127" s="783" t="n"/>
      <c r="X127" s="788" t="inlineStr">
        <is>
          <t>х</t>
        </is>
      </c>
      <c r="Y127" s="785" t="n"/>
      <c r="Z127" s="786" t="n"/>
      <c r="AA127" s="787" t="inlineStr">
        <is>
          <t>%</t>
        </is>
      </c>
      <c r="AB127" s="783" t="n"/>
      <c r="AC127" s="32" t="n"/>
      <c r="AD127" s="32" t="n"/>
      <c r="AE127" s="32" t="n"/>
      <c r="AF127" s="32" t="n"/>
      <c r="AG127" s="32" t="n"/>
      <c r="AH127" s="32" t="n"/>
    </row>
    <row r="128" ht="24.5" customHeight="1" thickBot="1" thickTop="1">
      <c r="F128" s="43" t="n"/>
      <c r="G128" s="778" t="inlineStr">
        <is>
          <t>Генеральный директор</t>
        </is>
      </c>
      <c r="H128" s="777" t="n"/>
      <c r="I128" s="16" t="n"/>
      <c r="J128" s="19" t="n"/>
      <c r="K128" s="19" t="n"/>
      <c r="L128" s="778" t="inlineStr">
        <is>
          <t>Директор УП</t>
        </is>
      </c>
      <c r="M128" s="777" t="n"/>
      <c r="N128" s="20" t="n"/>
      <c r="O128" s="21" t="n"/>
      <c r="P128" s="21" t="n"/>
      <c r="Q128" s="787" t="inlineStr">
        <is>
          <t>Директор УП</t>
        </is>
      </c>
      <c r="R128" s="783" t="n"/>
      <c r="S128" s="15" t="n"/>
      <c r="T128" s="15" t="n"/>
      <c r="U128" s="15" t="n"/>
      <c r="V128" s="543" t="inlineStr">
        <is>
          <t>Начальник ПЭО</t>
        </is>
      </c>
      <c r="W128" s="138" t="inlineStr">
        <is>
          <t>Директор УП</t>
        </is>
      </c>
      <c r="X128" s="15" t="n"/>
      <c r="Y128" s="15" t="n"/>
      <c r="Z128" s="15" t="n"/>
      <c r="AA128" s="787" t="inlineStr">
        <is>
          <t>Главный бухгалтер</t>
        </is>
      </c>
      <c r="AB128" s="783" t="n"/>
      <c r="AC128" s="32" t="n"/>
      <c r="AD128" s="32" t="n"/>
      <c r="AE128" s="32" t="n"/>
      <c r="AF128" s="32" t="n"/>
      <c r="AG128" s="32" t="n"/>
      <c r="AH128" s="32" t="n"/>
    </row>
    <row r="129" ht="15" customHeight="1" thickTop="1">
      <c r="B129" s="791" t="inlineStr">
        <is>
          <t>ОП - РК</t>
        </is>
      </c>
      <c r="C129" s="792" t="n"/>
      <c r="F129" s="45" t="n"/>
      <c r="G129" s="139" t="inlineStr">
        <is>
          <t>До проекта</t>
        </is>
      </c>
      <c r="H129" s="140" t="inlineStr">
        <is>
          <t>После проекта</t>
        </is>
      </c>
      <c r="L129" s="139" t="inlineStr">
        <is>
          <t>До проекта</t>
        </is>
      </c>
      <c r="M129" s="140" t="inlineStr">
        <is>
          <t>После проекта</t>
        </is>
      </c>
      <c r="Q129" s="137" t="inlineStr">
        <is>
          <t>До проекта</t>
        </is>
      </c>
      <c r="R129" s="138" t="inlineStr">
        <is>
          <t>После проекта</t>
        </is>
      </c>
      <c r="S129" s="4" t="n"/>
      <c r="T129" s="4" t="n"/>
      <c r="U129" s="4" t="n"/>
      <c r="V129" s="137" t="inlineStr">
        <is>
          <t>До проекта</t>
        </is>
      </c>
      <c r="W129" s="138" t="inlineStr">
        <is>
          <t>После проекта</t>
        </is>
      </c>
      <c r="X129" s="4" t="n"/>
      <c r="Y129" s="4" t="n"/>
      <c r="Z129" s="4" t="n"/>
      <c r="AA129" s="137" t="inlineStr">
        <is>
          <t>До проекта</t>
        </is>
      </c>
      <c r="AB129" s="138" t="inlineStr">
        <is>
          <t>После проекта</t>
        </is>
      </c>
      <c r="AC129" s="562" t="n"/>
      <c r="AD129" s="562" t="n"/>
      <c r="AE129" s="562" t="n"/>
      <c r="AF129" s="562" t="n"/>
      <c r="AG129" s="562" t="n"/>
      <c r="AH129" s="562" t="n"/>
    </row>
    <row r="130" ht="34.25" customHeight="1" thickBot="1">
      <c r="B130" s="793" t="inlineStr">
        <is>
          <t>Операционный денежный поток</t>
        </is>
      </c>
      <c r="C130" s="794" t="n"/>
      <c r="F130" s="45" t="n"/>
      <c r="G130" s="65">
        <f>VLOOKUP(G125,'Экономический эффект'!$B$9:$F$179,4,FALSE)</f>
        <v/>
      </c>
      <c r="H130" s="68">
        <f>VLOOKUP(G125,'Экономический эффект'!$B$9:$F$179,5,FALSE)</f>
        <v/>
      </c>
      <c r="L130" s="65">
        <f>VLOOKUP(L125,'Экономический эффект'!$B$9:$F$179,4,FALSE)</f>
        <v/>
      </c>
      <c r="M130" s="68">
        <f>VLOOKUP(L125,'Экономический эффект'!$B$9:$F$179,5,FALSE)</f>
        <v/>
      </c>
      <c r="Q130" s="67">
        <f>VLOOKUP(Q125,'Экономический эффект'!$B$9:$F$179,4,FALSE)</f>
        <v/>
      </c>
      <c r="R130" s="68">
        <f>VLOOKUP(Q125,'Экономический эффект'!$B$9:$F$179,5,FALSE)</f>
        <v/>
      </c>
      <c r="S130" s="4" t="n"/>
      <c r="T130" s="4" t="n"/>
      <c r="U130" s="4" t="n"/>
      <c r="V130" s="67">
        <f>VLOOKUP(V125,'Экономический эффект'!$B$9:$F$179,4,FALSE)</f>
        <v/>
      </c>
      <c r="W130" s="68">
        <f>VLOOKUP(V125,'Экономический эффект'!$B$9:$F$179,5,FALSE)</f>
        <v/>
      </c>
      <c r="X130" s="4" t="n"/>
      <c r="Y130" s="4" t="n"/>
      <c r="Z130" s="4" t="n"/>
      <c r="AA130" s="795">
        <f>VLOOKUP(AA125,'Экономический эффект'!$B$9:$F$179,4,FALSE)</f>
        <v/>
      </c>
      <c r="AB130" s="796">
        <f>VLOOKUP(AA125,'Экономический эффект'!$B$9:$F$179,5,FALSE)</f>
        <v/>
      </c>
      <c r="AC130" s="562" t="n"/>
      <c r="AD130" s="562" t="n"/>
      <c r="AE130" s="562" t="n"/>
      <c r="AF130" s="562" t="n"/>
      <c r="AG130" s="562" t="n"/>
      <c r="AH130" s="562" t="n"/>
    </row>
    <row r="131" ht="15.5" customHeight="1" thickBot="1" thickTop="1">
      <c r="B131" s="797" t="inlineStr">
        <is>
          <t>руб.</t>
        </is>
      </c>
      <c r="C131" s="794" t="n"/>
      <c r="D131" s="127" t="inlineStr">
        <is>
          <t>=</t>
        </is>
      </c>
      <c r="E131" s="128" t="n"/>
      <c r="F131" s="45" t="n"/>
      <c r="G131" s="107" t="inlineStr">
        <is>
          <t>Эффект</t>
        </is>
      </c>
      <c r="H131" s="108">
        <f>G130-H130</f>
        <v/>
      </c>
      <c r="L131" s="107" t="inlineStr">
        <is>
          <t>Эффект</t>
        </is>
      </c>
      <c r="M131" s="108">
        <f>L130-M130</f>
        <v/>
      </c>
      <c r="Q131" s="107" t="inlineStr">
        <is>
          <t>Эффект</t>
        </is>
      </c>
      <c r="R131" s="108">
        <f>Q130-R130</f>
        <v/>
      </c>
      <c r="V131" s="107" t="inlineStr">
        <is>
          <t>Эффект</t>
        </is>
      </c>
      <c r="W131" s="108">
        <f>W130-V130</f>
        <v/>
      </c>
    </row>
    <row r="132" ht="15.5" customHeight="1" thickTop="1">
      <c r="B132" s="797" t="inlineStr">
        <is>
          <t>Генеральный директор</t>
        </is>
      </c>
      <c r="C132" s="794" t="n"/>
      <c r="D132" s="44" t="n"/>
      <c r="E132" s="44" t="n"/>
      <c r="F132" s="45" t="n"/>
      <c r="G132" s="798" t="inlineStr">
        <is>
          <t>+</t>
        </is>
      </c>
      <c r="H132" s="19" t="n"/>
    </row>
    <row r="133" ht="20.75" customHeight="1" thickBot="1">
      <c r="B133" s="634" t="inlineStr">
        <is>
          <t>До проекта</t>
        </is>
      </c>
      <c r="C133" s="31" t="inlineStr">
        <is>
          <t>После проекта</t>
        </is>
      </c>
      <c r="F133" s="45" t="n"/>
    </row>
    <row r="134" ht="15" customHeight="1" thickBot="1">
      <c r="B134" s="81">
        <f>IFERROR(VLOOKUP(B129,'Экономический эффект'!$B$9:$F$179,4,FALSE),"0")</f>
        <v/>
      </c>
      <c r="C134" s="82">
        <f>IFERROR(VLOOKUP(B129,'Экономический эффект'!$B$9:$F$179,5,FALSE),"0")</f>
        <v/>
      </c>
      <c r="F134" s="45" t="n"/>
      <c r="I134" s="47" t="n"/>
      <c r="J134" s="47" t="n"/>
      <c r="K134" s="47" t="n"/>
      <c r="L134" s="47" t="n"/>
      <c r="M134" s="48" t="n"/>
      <c r="N134" s="47" t="n"/>
      <c r="O134" s="47" t="n"/>
      <c r="P134" s="47" t="n"/>
      <c r="Q134" s="47" t="n"/>
      <c r="R134" s="48" t="n"/>
      <c r="S134" s="47" t="n"/>
      <c r="T134" s="47" t="n"/>
      <c r="U134" s="47" t="n"/>
      <c r="V134" s="47" t="n"/>
      <c r="W134" s="48" t="n"/>
      <c r="X134" s="47" t="n"/>
      <c r="Y134" s="47" t="n"/>
      <c r="Z134" s="47" t="n"/>
      <c r="AA134" s="47" t="n"/>
      <c r="AB134" s="48" t="n"/>
      <c r="AC134" s="47" t="n"/>
      <c r="AD134" s="47" t="n"/>
      <c r="AE134" s="47" t="n"/>
      <c r="AF134" s="47" t="n"/>
      <c r="AG134" s="47" t="n"/>
      <c r="AH134" s="47" t="n"/>
    </row>
    <row r="135" ht="33.5" customHeight="1" thickBot="1" thickTop="1">
      <c r="B135" s="115" t="inlineStr">
        <is>
          <t>Реальный экономический эффект</t>
        </is>
      </c>
      <c r="C135" s="116">
        <f>C134-B134</f>
        <v/>
      </c>
      <c r="F135" s="45" t="n"/>
      <c r="K135" s="30" t="n"/>
      <c r="L135" s="799" t="inlineStr">
        <is>
          <t>ПДР2</t>
        </is>
      </c>
      <c r="M135" s="800" t="n"/>
      <c r="N135" s="29" t="n"/>
      <c r="P135" s="30" t="n"/>
      <c r="Q135" s="799" t="inlineStr">
        <is>
          <t>ПДР2.1</t>
        </is>
      </c>
      <c r="R135" s="800" t="n"/>
      <c r="V135" s="799" t="inlineStr">
        <is>
          <t>ПДР2.2</t>
        </is>
      </c>
      <c r="W135" s="800" t="n"/>
    </row>
    <row r="136" ht="29" customHeight="1" thickTop="1">
      <c r="B136" s="99" t="n"/>
      <c r="C136" s="99" t="n"/>
      <c r="F136" s="45" t="n"/>
      <c r="K136" s="30" t="n"/>
      <c r="L136" s="801" t="inlineStr">
        <is>
          <t>Доходы от сдачи помещений в аренду</t>
        </is>
      </c>
      <c r="M136" s="802" t="n"/>
      <c r="P136" s="30" t="n"/>
      <c r="Q136" s="801" t="inlineStr">
        <is>
          <t>Площадь помещений</t>
        </is>
      </c>
      <c r="R136" s="802" t="n"/>
      <c r="V136" s="801" t="inlineStr">
        <is>
          <t>Ставка аренды</t>
        </is>
      </c>
      <c r="W136" s="802" t="n"/>
      <c r="AF136" s="803" t="n"/>
    </row>
    <row r="137" ht="24.5" customHeight="1" thickBot="1">
      <c r="F137" s="45" t="n"/>
      <c r="I137" s="626" t="n"/>
      <c r="K137" s="30" t="n"/>
      <c r="L137" s="804" t="inlineStr">
        <is>
          <t>руб.</t>
        </is>
      </c>
      <c r="M137" s="802" t="n"/>
      <c r="N137" s="559" t="inlineStr">
        <is>
          <t>=</t>
        </is>
      </c>
      <c r="O137" s="805" t="n"/>
      <c r="P137" s="806" t="n"/>
      <c r="Q137" s="804" t="inlineStr">
        <is>
          <t>кв.м</t>
        </is>
      </c>
      <c r="R137" s="802" t="n"/>
      <c r="S137" s="559" t="inlineStr">
        <is>
          <t>х</t>
        </is>
      </c>
      <c r="T137" s="805" t="n"/>
      <c r="U137" s="806" t="n"/>
      <c r="V137" s="804" t="inlineStr">
        <is>
          <t>руб./кв.м</t>
        </is>
      </c>
      <c r="W137" s="802" t="n"/>
      <c r="AF137" s="156" t="n"/>
    </row>
    <row r="138" ht="27.5" customHeight="1" thickBot="1" thickTop="1">
      <c r="B138" s="807" t="inlineStr">
        <is>
          <t>Потенциальный эффект</t>
        </is>
      </c>
      <c r="C138" s="808">
        <f>'Экономический эффект'!G10</f>
        <v/>
      </c>
      <c r="F138" s="45" t="n"/>
      <c r="G138" s="809" t="n"/>
      <c r="H138" s="809" t="n"/>
      <c r="K138" s="146" t="n"/>
      <c r="L138" s="804" t="inlineStr">
        <is>
          <t>Директор по экономике</t>
        </is>
      </c>
      <c r="M138" s="802" t="n"/>
      <c r="Q138" s="804" t="inlineStr">
        <is>
          <t>Директор по экономике</t>
        </is>
      </c>
      <c r="R138" s="802" t="n"/>
      <c r="V138" s="804" t="inlineStr">
        <is>
          <t>Начальник ПЭО</t>
        </is>
      </c>
      <c r="W138" s="802" t="n"/>
      <c r="AF138" s="156" t="n"/>
    </row>
    <row r="139" ht="27.5" customHeight="1" thickBot="1" thickTop="1">
      <c r="B139" s="810" t="n"/>
      <c r="C139" s="810" t="n"/>
      <c r="F139" s="45" t="n"/>
      <c r="G139" s="811" t="inlineStr">
        <is>
          <t>ПДР</t>
        </is>
      </c>
      <c r="H139" s="812" t="n"/>
      <c r="I139" s="38" t="n"/>
      <c r="K139" s="38" t="n"/>
      <c r="L139" s="141" t="inlineStr">
        <is>
          <t>До проекта</t>
        </is>
      </c>
      <c r="M139" s="142" t="inlineStr">
        <is>
          <t>После проекта</t>
        </is>
      </c>
      <c r="Q139" s="141" t="inlineStr">
        <is>
          <t>До проекта</t>
        </is>
      </c>
      <c r="R139" s="142" t="inlineStr">
        <is>
          <t>После проекта</t>
        </is>
      </c>
      <c r="V139" s="141" t="inlineStr">
        <is>
          <t>До проекта</t>
        </is>
      </c>
      <c r="W139" s="142" t="inlineStr">
        <is>
          <t>После проекта</t>
        </is>
      </c>
    </row>
    <row r="140" ht="26.25" customHeight="1" thickBot="1" thickTop="1">
      <c r="F140" s="45" t="n"/>
      <c r="G140" s="813" t="inlineStr">
        <is>
          <t>Прочие доходы/расходы</t>
        </is>
      </c>
      <c r="H140" s="814" t="n"/>
      <c r="I140" s="38" t="n"/>
      <c r="K140" s="38" t="n"/>
      <c r="L140" s="183">
        <f>VLOOKUP(L135,'Экономический эффект'!$B$9:$F$179,4,FALSE)</f>
        <v/>
      </c>
      <c r="M140" s="182">
        <f>VLOOKUP(L135,'Экономический эффект'!$B$9:$F$179,5,FALSE)</f>
        <v/>
      </c>
      <c r="Q140" s="77">
        <f>'Экономический эффект'!E158</f>
        <v/>
      </c>
      <c r="R140" s="182">
        <f>'Экономический эффект'!F158</f>
        <v/>
      </c>
      <c r="V140" s="77">
        <f>W140</f>
        <v/>
      </c>
      <c r="W140" s="78">
        <f>IF('Экономический эффект'!F159=0,'Экономический эффект'!F160,'Экономический эффект'!F159)</f>
        <v/>
      </c>
    </row>
    <row r="141" ht="25.25" customHeight="1" thickBot="1" thickTop="1">
      <c r="B141" s="103" t="inlineStr">
        <is>
          <t>Высвобождение Денежных средств</t>
        </is>
      </c>
      <c r="C141" s="104">
        <f>'Экономический эффект'!G166</f>
        <v/>
      </c>
      <c r="F141" s="45" t="n"/>
      <c r="G141" s="815" t="inlineStr">
        <is>
          <t>руб.</t>
        </is>
      </c>
      <c r="H141" s="814" t="n"/>
      <c r="I141" s="38" t="n"/>
      <c r="K141" s="38" t="n"/>
      <c r="L141" s="180" t="inlineStr">
        <is>
          <t>Эффект</t>
        </is>
      </c>
      <c r="M141" s="181">
        <f>IF('Экономический эффект'!F159=0,0,M140-L140)</f>
        <v/>
      </c>
      <c r="Q141" s="110" t="inlineStr">
        <is>
          <t>Эффект</t>
        </is>
      </c>
      <c r="R141" s="150">
        <f>R140-Q140</f>
        <v/>
      </c>
      <c r="V141" s="151" t="n"/>
      <c r="W141" s="143" t="n"/>
    </row>
    <row r="142" ht="22.25" customHeight="1" thickBot="1" thickTop="1">
      <c r="A142" s="51" t="n"/>
      <c r="B142" s="816" t="n"/>
      <c r="C142" s="816" t="n"/>
      <c r="F142" s="45" t="n"/>
      <c r="G142" s="815" t="inlineStr">
        <is>
          <t>Генеральный директор</t>
        </is>
      </c>
      <c r="H142" s="814" t="n"/>
      <c r="I142" s="38" t="n"/>
      <c r="K142" s="38" t="n"/>
      <c r="L142" s="178" t="inlineStr">
        <is>
          <t>Потенциальный эффект</t>
        </is>
      </c>
      <c r="M142" s="179">
        <f>IF('Экономический эффект'!F159=0,M140-L140,0)</f>
        <v/>
      </c>
      <c r="Q142" s="151" t="n"/>
      <c r="R142" s="143" t="n"/>
      <c r="V142" s="563" t="n"/>
      <c r="W142" s="611" t="n"/>
    </row>
    <row r="143" ht="23.5" customHeight="1" thickBot="1" thickTop="1">
      <c r="A143" s="51" t="n"/>
      <c r="B143" s="563" t="n"/>
      <c r="C143" s="611" t="n"/>
      <c r="F143" s="144" t="n"/>
      <c r="G143" s="89" t="inlineStr">
        <is>
          <t>До проекта</t>
        </is>
      </c>
      <c r="H143" s="90" t="inlineStr">
        <is>
          <t>После проекта</t>
        </is>
      </c>
      <c r="I143" s="817" t="inlineStr">
        <is>
          <t>=</t>
        </is>
      </c>
      <c r="J143" s="818" t="n"/>
      <c r="K143" s="147" t="n"/>
      <c r="L143" s="558" t="inlineStr">
        <is>
          <t>-</t>
        </is>
      </c>
      <c r="M143" s="805" t="n"/>
      <c r="N143" s="4" t="n"/>
    </row>
    <row r="144" ht="23.5" customHeight="1" thickBot="1" thickTop="1">
      <c r="B144" s="563" t="n"/>
      <c r="C144" s="611" t="n"/>
      <c r="F144" s="145" t="n"/>
      <c r="G144" s="75">
        <f>VLOOKUP(G139,'Экономический эффект'!$B$9:$F$179,4,FALSE)</f>
        <v/>
      </c>
      <c r="H144" s="76">
        <f>VLOOKUP(G139,'Экономический эффект'!$B$9:$F$179,5,FALSE)</f>
        <v/>
      </c>
      <c r="I144" s="38" t="n"/>
      <c r="K144" s="148" t="n"/>
      <c r="L144" s="799" t="inlineStr">
        <is>
          <t>ПДР3</t>
        </is>
      </c>
      <c r="M144" s="800" t="n"/>
      <c r="N144" s="29" t="n"/>
      <c r="P144" s="30" t="n"/>
      <c r="Q144" s="799" t="inlineStr">
        <is>
          <t>ПДР3.2</t>
        </is>
      </c>
      <c r="R144" s="800" t="n"/>
      <c r="V144" s="562" t="n"/>
      <c r="AA144" s="562" t="n"/>
    </row>
    <row r="145" ht="27" customHeight="1" thickBot="1" thickTop="1">
      <c r="F145" s="145" t="n"/>
      <c r="G145" s="110" t="inlineStr">
        <is>
          <t>Эффект</t>
        </is>
      </c>
      <c r="H145" s="109">
        <f>'Экономический эффект'!G155</f>
        <v/>
      </c>
      <c r="I145" s="38" t="n"/>
      <c r="K145" s="148" t="n"/>
      <c r="L145" s="801" t="inlineStr">
        <is>
          <t>Расходы на брак, рекламации</t>
        </is>
      </c>
      <c r="M145" s="802" t="n"/>
      <c r="N145" s="29" t="n"/>
      <c r="P145" s="30" t="n"/>
      <c r="Q145" s="801" t="inlineStr">
        <is>
          <t>Брак в производстве</t>
        </is>
      </c>
      <c r="R145" s="802" t="n"/>
      <c r="V145" s="563" t="n"/>
      <c r="AA145" s="563" t="n"/>
    </row>
    <row r="146" ht="28.25" customHeight="1" thickBot="1" thickTop="1">
      <c r="F146" s="45" t="n"/>
      <c r="G146" s="178" t="inlineStr">
        <is>
          <t>Потенциальный эффект</t>
        </is>
      </c>
      <c r="H146" s="179">
        <f>'Экономический эффект'!G156</f>
        <v/>
      </c>
      <c r="K146" s="149" t="n"/>
      <c r="L146" s="804" t="inlineStr">
        <is>
          <t>руб.</t>
        </is>
      </c>
      <c r="M146" s="802" t="n"/>
      <c r="N146" s="819" t="inlineStr">
        <is>
          <t>=</t>
        </is>
      </c>
      <c r="O146" s="805" t="n"/>
      <c r="P146" s="806" t="n"/>
      <c r="Q146" s="804" t="inlineStr">
        <is>
          <t>руб.</t>
        </is>
      </c>
      <c r="R146" s="802" t="n"/>
      <c r="S146" s="537" t="n"/>
      <c r="V146" s="562" t="n"/>
      <c r="X146" s="537" t="n"/>
      <c r="AA146" s="562" t="n"/>
    </row>
    <row r="147" ht="28.25" customHeight="1" thickTop="1">
      <c r="F147" s="45" t="n"/>
      <c r="K147" s="146" t="n"/>
      <c r="L147" s="91" t="inlineStr">
        <is>
          <t>Директор по экономике</t>
        </is>
      </c>
      <c r="M147" s="92" t="inlineStr">
        <is>
          <t>Директор по производству</t>
        </is>
      </c>
      <c r="Q147" s="804" t="inlineStr">
        <is>
          <t>Директор по экономике</t>
        </is>
      </c>
      <c r="R147" s="802" t="n"/>
      <c r="V147" s="562" t="n"/>
      <c r="W147" s="562" t="n"/>
      <c r="AA147" s="562" t="n"/>
    </row>
    <row r="148" ht="14.75" customHeight="1">
      <c r="F148" s="45" t="n"/>
      <c r="K148" s="38" t="n"/>
      <c r="L148" s="141" t="inlineStr">
        <is>
          <t>До проекта</t>
        </is>
      </c>
      <c r="M148" s="142" t="inlineStr">
        <is>
          <t>После проекта</t>
        </is>
      </c>
      <c r="Q148" s="141" t="inlineStr">
        <is>
          <t>До проекта</t>
        </is>
      </c>
      <c r="R148" s="142" t="inlineStr">
        <is>
          <t>После проекта</t>
        </is>
      </c>
      <c r="V148" s="562" t="n"/>
      <c r="W148" s="562" t="n"/>
      <c r="AA148" s="562" t="n"/>
      <c r="AB148" s="562" t="n"/>
    </row>
    <row r="149" ht="27" customHeight="1" thickBot="1">
      <c r="F149" s="45" t="n"/>
      <c r="K149" s="38" t="n"/>
      <c r="L149" s="77">
        <f>VLOOKUP(L144,'Экономический эффект'!$B$9:$F$179,4,FALSE)</f>
        <v/>
      </c>
      <c r="M149" s="78">
        <f>VLOOKUP(L144,'Экономический эффект'!$B$9:$F$179,5,FALSE)</f>
        <v/>
      </c>
      <c r="Q149" s="77">
        <f>VLOOKUP(Q144,'Экономический эффект'!$B$9:$F$179,4,FALSE)</f>
        <v/>
      </c>
      <c r="R149" s="78">
        <f>VLOOKUP(Q144,'Экономический эффект'!$B$9:$F$179,5,FALSE)</f>
        <v/>
      </c>
      <c r="V149" s="99" t="n"/>
      <c r="W149" s="99" t="n"/>
      <c r="AA149" s="99" t="n"/>
      <c r="AB149" s="99" t="n"/>
    </row>
    <row r="150" ht="22.25" customHeight="1" thickBot="1" thickTop="1">
      <c r="F150" s="45" t="n"/>
      <c r="G150" s="579" t="inlineStr">
        <is>
          <t>-</t>
        </is>
      </c>
      <c r="K150" s="38" t="n"/>
      <c r="L150" s="110" t="inlineStr">
        <is>
          <t>Эффект</t>
        </is>
      </c>
      <c r="M150" s="109">
        <f>L149-M149</f>
        <v/>
      </c>
      <c r="Q150" s="110" t="inlineStr">
        <is>
          <t>Эффект</t>
        </is>
      </c>
      <c r="R150" s="150">
        <f>Q149-R149</f>
        <v/>
      </c>
      <c r="V150" s="563" t="n"/>
      <c r="W150" s="611" t="n"/>
      <c r="AA150" s="563" t="n"/>
      <c r="AB150" s="611" t="n"/>
    </row>
    <row r="151" ht="26.5" customHeight="1" thickTop="1">
      <c r="A151" s="51" t="n"/>
      <c r="F151" s="45" t="n"/>
      <c r="K151" s="38" t="n"/>
      <c r="L151" s="546" t="inlineStr">
        <is>
          <t>+</t>
        </is>
      </c>
      <c r="M151" s="19" t="n"/>
      <c r="Q151" s="563" t="n"/>
      <c r="R151" s="611" t="n"/>
      <c r="V151" s="563" t="n"/>
      <c r="W151" s="611" t="n"/>
      <c r="AA151" s="563" t="n"/>
      <c r="AB151" s="611" t="n"/>
    </row>
    <row r="152" ht="14.75" customHeight="1" thickBot="1">
      <c r="B152" s="51" t="n"/>
      <c r="C152" s="51" t="n"/>
      <c r="F152" s="45" t="n"/>
      <c r="K152" s="38" t="n"/>
      <c r="Q152" s="563" t="n"/>
      <c r="R152" s="611" t="n"/>
      <c r="V152" s="563" t="n"/>
      <c r="W152" s="611" t="n"/>
      <c r="AA152" s="563" t="n"/>
      <c r="AB152" s="611" t="n"/>
    </row>
    <row r="153" ht="27" customHeight="1">
      <c r="F153" s="45" t="n"/>
      <c r="K153" s="38" t="n"/>
      <c r="L153" s="799" t="inlineStr">
        <is>
          <t>ПР2.4</t>
        </is>
      </c>
      <c r="M153" s="800" t="n"/>
      <c r="Q153" s="563" t="n"/>
      <c r="R153" s="611" t="n"/>
      <c r="V153" s="563" t="n"/>
      <c r="W153" s="611" t="n"/>
      <c r="AA153" s="563" t="n"/>
      <c r="AB153" s="611" t="n"/>
    </row>
    <row r="154" ht="19.5" customHeight="1">
      <c r="F154" s="45" t="n"/>
      <c r="K154" s="38" t="n"/>
      <c r="L154" s="801" t="inlineStr">
        <is>
          <t>Прочие эффекты</t>
        </is>
      </c>
      <c r="M154" s="802" t="n"/>
      <c r="Q154" s="563" t="n"/>
      <c r="R154" s="611" t="n"/>
      <c r="V154" s="563" t="n"/>
      <c r="W154" s="611" t="n"/>
      <c r="AA154" s="563" t="n"/>
      <c r="AB154" s="611" t="n"/>
    </row>
    <row r="155" ht="28.25" customHeight="1" thickBot="1">
      <c r="F155" s="45" t="n"/>
      <c r="K155" s="221" t="n"/>
      <c r="L155" s="804" t="inlineStr">
        <is>
          <t>руб.</t>
        </is>
      </c>
      <c r="M155" s="802" t="n"/>
      <c r="Q155" s="563" t="n"/>
      <c r="R155" s="611" t="n"/>
      <c r="V155" s="563" t="n"/>
      <c r="W155" s="611" t="n"/>
      <c r="AA155" s="563" t="n"/>
      <c r="AB155" s="611" t="n"/>
    </row>
    <row r="156" ht="14.75" customHeight="1" thickTop="1">
      <c r="F156" s="45" t="n"/>
      <c r="L156" s="804" t="inlineStr">
        <is>
          <t>Директор по экономике</t>
        </is>
      </c>
      <c r="M156" s="802" t="n"/>
      <c r="Q156" s="563" t="n"/>
      <c r="R156" s="611" t="n"/>
      <c r="V156" s="563" t="n"/>
      <c r="W156" s="611" t="n"/>
      <c r="AA156" s="563" t="n"/>
      <c r="AB156" s="611" t="n"/>
    </row>
    <row r="157" ht="27" customHeight="1">
      <c r="F157" s="45" t="n"/>
      <c r="L157" s="141" t="inlineStr">
        <is>
          <t>До проекта</t>
        </is>
      </c>
      <c r="M157" s="142" t="inlineStr">
        <is>
          <t>После проекта</t>
        </is>
      </c>
      <c r="Q157" s="563" t="n"/>
      <c r="R157" s="611" t="n"/>
      <c r="V157" s="563" t="n"/>
      <c r="W157" s="611" t="n"/>
      <c r="AA157" s="563" t="n"/>
      <c r="AB157" s="611" t="n"/>
    </row>
    <row r="158" ht="14.75" customHeight="1" thickBot="1">
      <c r="F158" s="45" t="n"/>
      <c r="L158" s="183" t="n">
        <v>0</v>
      </c>
      <c r="M158" s="182">
        <f>IF('Экономический эффект'!F163=0,'Экономический эффект'!F164,'Экономический эффект'!F163)</f>
        <v/>
      </c>
      <c r="Q158" s="563" t="n"/>
      <c r="R158" s="611" t="n"/>
      <c r="V158" s="563" t="n"/>
      <c r="W158" s="611" t="n"/>
      <c r="AA158" s="563" t="n"/>
      <c r="AB158" s="611" t="n"/>
    </row>
    <row r="159" ht="28.25" customHeight="1" thickBot="1" thickTop="1">
      <c r="A159" s="51" t="n"/>
      <c r="F159" s="45" t="n"/>
      <c r="L159" s="180" t="inlineStr">
        <is>
          <t>Эффект</t>
        </is>
      </c>
      <c r="M159" s="181">
        <f>'Экономический эффект'!F163</f>
        <v/>
      </c>
      <c r="Q159" s="563" t="n"/>
      <c r="R159" s="611" t="n"/>
      <c r="V159" s="563" t="n"/>
      <c r="W159" s="611" t="n"/>
      <c r="AA159" s="563" t="n"/>
      <c r="AB159" s="611" t="n"/>
    </row>
    <row r="160" ht="28.25" customHeight="1" thickBot="1" thickTop="1">
      <c r="A160" s="51" t="n"/>
      <c r="F160" s="45" t="n"/>
      <c r="L160" s="178" t="inlineStr">
        <is>
          <t>Потенциальный эффект</t>
        </is>
      </c>
      <c r="M160" s="179">
        <f>'Экономический эффект'!F164</f>
        <v/>
      </c>
      <c r="Q160" s="563" t="n"/>
      <c r="R160" s="611" t="n"/>
      <c r="V160" s="563" t="n"/>
      <c r="W160" s="611" t="n"/>
      <c r="AA160" s="563" t="n"/>
      <c r="AB160" s="611" t="n"/>
    </row>
    <row r="161" ht="27" customHeight="1" thickBot="1" thickTop="1">
      <c r="A161" s="51" t="n"/>
      <c r="F161" s="45" t="n"/>
      <c r="I161" s="94" t="n"/>
      <c r="J161" s="94" t="n"/>
      <c r="K161" s="94" t="n"/>
      <c r="L161" s="94" t="n"/>
      <c r="M161" s="95" t="n"/>
      <c r="N161" s="94" t="n"/>
      <c r="O161" s="94" t="n"/>
      <c r="P161" s="94" t="n"/>
      <c r="Q161" s="94" t="n"/>
      <c r="R161" s="95" t="n"/>
      <c r="S161" s="94" t="n"/>
      <c r="T161" s="94" t="n"/>
      <c r="U161" s="94" t="n"/>
      <c r="V161" s="94" t="n"/>
      <c r="W161" s="95" t="n"/>
      <c r="X161" s="94" t="n"/>
      <c r="Y161" s="94" t="n"/>
      <c r="Z161" s="94" t="n"/>
      <c r="AA161" s="94" t="n"/>
      <c r="AB161" s="95" t="n"/>
      <c r="AC161" s="94" t="n"/>
      <c r="AD161" s="94" t="n"/>
      <c r="AE161" s="94" t="n"/>
      <c r="AF161" s="94" t="n"/>
      <c r="AG161" s="94" t="n"/>
      <c r="AH161" s="94" t="n"/>
      <c r="AI161" s="94" t="n"/>
      <c r="AJ161" s="94" t="n"/>
      <c r="AK161" s="94" t="n"/>
      <c r="AL161" s="94" t="n"/>
      <c r="AM161" s="94" t="n"/>
    </row>
    <row r="162" ht="20" customHeight="1" thickBot="1">
      <c r="A162" s="51" t="n"/>
      <c r="F162" s="45" t="n"/>
    </row>
    <row r="163" ht="20" customHeight="1" thickTop="1">
      <c r="A163" s="51" t="n"/>
      <c r="F163" s="45" t="n"/>
      <c r="Q163" s="820" t="inlineStr">
        <is>
          <t>РК1.1</t>
        </is>
      </c>
      <c r="R163" s="821" t="n"/>
    </row>
    <row r="164" ht="20" customHeight="1">
      <c r="A164" s="51" t="n"/>
      <c r="F164" s="45" t="n"/>
      <c r="Q164" s="822" t="inlineStr">
        <is>
          <t>Дебиторская задолженность (ДЗ)</t>
        </is>
      </c>
      <c r="R164" s="823" t="n"/>
    </row>
    <row r="165" ht="20" customHeight="1" thickBot="1">
      <c r="A165" s="51" t="n"/>
      <c r="F165" s="45" t="n"/>
      <c r="Q165" s="824" t="inlineStr">
        <is>
          <t>руб.</t>
        </is>
      </c>
      <c r="R165" s="823" t="n"/>
    </row>
    <row r="166" ht="20" customHeight="1" thickTop="1">
      <c r="A166" s="51" t="n"/>
      <c r="F166" s="45" t="n"/>
      <c r="P166" s="23" t="n"/>
      <c r="Q166" s="87" t="inlineStr">
        <is>
          <t>Начальник ПЭО</t>
        </is>
      </c>
      <c r="R166" s="88" t="inlineStr">
        <is>
          <t>Коммерческий директор</t>
        </is>
      </c>
      <c r="AF166" s="156" t="n"/>
    </row>
    <row r="167" ht="20" customHeight="1">
      <c r="A167" s="51" t="n"/>
      <c r="F167" s="45" t="n"/>
      <c r="P167" s="24" t="n"/>
      <c r="Q167" s="87" t="inlineStr">
        <is>
          <t>До проекта</t>
        </is>
      </c>
      <c r="R167" s="88" t="inlineStr">
        <is>
          <t>После проекта</t>
        </is>
      </c>
      <c r="AF167" s="156" t="n"/>
    </row>
    <row r="168" ht="20" customHeight="1" thickBot="1">
      <c r="A168" s="51" t="n"/>
      <c r="F168" s="45" t="n"/>
      <c r="P168" s="24" t="n"/>
      <c r="Q168" s="111">
        <f>VLOOKUP(Q163,'Экономический эффект'!$B$9:$F$179,4,FALSE)</f>
        <v/>
      </c>
      <c r="R168" s="112">
        <f>VLOOKUP(Q163,'Экономический эффект'!$B$9:$F$179,5,FALSE)</f>
        <v/>
      </c>
      <c r="AF168" s="156" t="n"/>
    </row>
    <row r="169" ht="36" customHeight="1" thickBot="1" thickTop="1">
      <c r="A169" s="51" t="n"/>
      <c r="F169" s="45" t="n"/>
      <c r="P169" s="24" t="n"/>
      <c r="Q169" s="113" t="inlineStr">
        <is>
          <t>Эффект</t>
        </is>
      </c>
      <c r="R169" s="114">
        <f>Q168-R168</f>
        <v/>
      </c>
    </row>
    <row r="170" ht="15" customHeight="1" thickTop="1">
      <c r="A170" s="51" t="n"/>
      <c r="B170" s="51" t="n"/>
      <c r="C170" s="51" t="n"/>
      <c r="F170" s="45" t="n"/>
      <c r="P170" s="24" t="n"/>
      <c r="Q170" s="825" t="inlineStr">
        <is>
          <t>-</t>
        </is>
      </c>
      <c r="R170" s="826" t="n"/>
    </row>
    <row r="171" ht="15" customHeight="1" thickBot="1">
      <c r="A171" s="51" t="n"/>
      <c r="B171" s="51" t="n"/>
      <c r="C171" s="51" t="n"/>
      <c r="F171" s="45" t="n"/>
      <c r="P171" s="24" t="n"/>
      <c r="Q171" s="827" t="n"/>
      <c r="R171" s="827" t="n"/>
      <c r="AF171" s="828" t="n"/>
    </row>
    <row r="172" ht="24" customHeight="1" thickTop="1">
      <c r="A172" s="51" t="n"/>
      <c r="B172" s="51" t="n"/>
      <c r="C172" s="51" t="n"/>
      <c r="F172" s="45" t="n"/>
      <c r="P172" s="24" t="n"/>
      <c r="Q172" s="820" t="inlineStr">
        <is>
          <t>РК1.2</t>
        </is>
      </c>
      <c r="R172" s="821" t="n"/>
    </row>
    <row r="173" ht="24" customHeight="1">
      <c r="A173" s="51" t="n"/>
      <c r="B173" s="51" t="n"/>
      <c r="C173" s="51" t="n"/>
      <c r="F173" s="45" t="n"/>
      <c r="P173" s="24" t="n"/>
      <c r="Q173" s="822" t="inlineStr">
        <is>
          <t>Кредиторская задолженность (КЗ)</t>
        </is>
      </c>
      <c r="R173" s="823" t="n"/>
    </row>
    <row r="174" ht="25.25" customHeight="1" thickBot="1">
      <c r="A174" s="51" t="n"/>
      <c r="B174" s="51" t="n"/>
      <c r="C174" s="51" t="n"/>
      <c r="F174" s="45" t="n"/>
      <c r="P174" s="24" t="n"/>
      <c r="Q174" s="824" t="inlineStr">
        <is>
          <t>руб.</t>
        </is>
      </c>
      <c r="R174" s="823" t="n"/>
    </row>
    <row r="175" ht="14.75" customHeight="1" thickTop="1">
      <c r="A175" s="51" t="n"/>
      <c r="B175" s="51" t="n"/>
      <c r="C175" s="51" t="n"/>
      <c r="F175" s="45" t="n"/>
      <c r="P175" s="26" t="n"/>
      <c r="Q175" s="87" t="inlineStr">
        <is>
          <t>Начальник ПЭО</t>
        </is>
      </c>
      <c r="R175" s="88" t="inlineStr">
        <is>
          <t>Начальник ОС</t>
        </is>
      </c>
    </row>
    <row r="176" ht="15" customHeight="1">
      <c r="A176" s="51" t="n"/>
      <c r="B176" s="51" t="n"/>
      <c r="C176" s="51" t="n"/>
      <c r="F176" s="45" t="n"/>
      <c r="P176" s="24" t="n"/>
      <c r="Q176" s="87" t="inlineStr">
        <is>
          <t>До проекта</t>
        </is>
      </c>
      <c r="R176" s="88" t="inlineStr">
        <is>
          <t>После проекта</t>
        </is>
      </c>
    </row>
    <row r="177" ht="15" customHeight="1" thickBot="1">
      <c r="A177" s="51" t="n"/>
      <c r="B177" s="51" t="n"/>
      <c r="C177" s="51" t="n"/>
      <c r="F177" s="45" t="n"/>
      <c r="P177" s="24" t="n"/>
      <c r="Q177" s="71">
        <f>VLOOKUP(Q172,'Экономический эффект'!$B$9:$F$179,4,FALSE)</f>
        <v/>
      </c>
      <c r="R177" s="72">
        <f>VLOOKUP(Q172,'Экономический эффект'!$B$9:$F$179,5,FALSE)</f>
        <v/>
      </c>
    </row>
    <row r="178" ht="15" customHeight="1" thickBot="1" thickTop="1">
      <c r="A178" s="51" t="n"/>
      <c r="B178" s="51" t="n"/>
      <c r="C178" s="51" t="n"/>
      <c r="F178" s="45" t="n"/>
      <c r="P178" s="24" t="n"/>
      <c r="Q178" s="113" t="inlineStr">
        <is>
          <t>Эффект</t>
        </is>
      </c>
      <c r="R178" s="114">
        <f>R177-Q177</f>
        <v/>
      </c>
    </row>
    <row r="179" ht="15" customHeight="1" thickBot="1" thickTop="1">
      <c r="A179" s="51" t="n"/>
      <c r="B179" s="51" t="n"/>
      <c r="C179" s="51" t="n"/>
      <c r="F179" s="45" t="n"/>
      <c r="G179" s="827" t="n"/>
      <c r="H179" s="827" t="n"/>
      <c r="P179" s="24" t="n"/>
      <c r="Q179" s="825" t="inlineStr">
        <is>
          <t>+</t>
        </is>
      </c>
      <c r="R179" s="826" t="n"/>
    </row>
    <row r="180" ht="15" customHeight="1" thickBot="1" thickTop="1">
      <c r="A180" s="51" t="n"/>
      <c r="B180" s="51" t="n"/>
      <c r="C180" s="51" t="n"/>
      <c r="F180" s="45" t="n"/>
      <c r="G180" s="820" t="inlineStr">
        <is>
          <t>РК</t>
        </is>
      </c>
      <c r="H180" s="821" t="n"/>
      <c r="P180" s="24" t="n"/>
      <c r="Q180" s="827" t="n"/>
      <c r="R180" s="827" t="n"/>
    </row>
    <row r="181" ht="26.75" customHeight="1" thickTop="1">
      <c r="A181" s="51" t="n"/>
      <c r="B181" s="51" t="n"/>
      <c r="C181" s="51" t="n"/>
      <c r="F181" s="45" t="n"/>
      <c r="G181" s="822" t="inlineStr">
        <is>
          <t>Изменение рабочего капитала</t>
        </is>
      </c>
      <c r="H181" s="823" t="n"/>
      <c r="P181" s="24" t="n"/>
      <c r="Q181" s="820" t="inlineStr">
        <is>
          <t>РК1.3</t>
        </is>
      </c>
      <c r="R181" s="821" t="n"/>
      <c r="V181" s="829" t="inlineStr">
        <is>
          <t>РК1.3.1</t>
        </is>
      </c>
      <c r="W181" s="830" t="n"/>
      <c r="AA181" s="829" t="inlineStr">
        <is>
          <t>РК1.3.2</t>
        </is>
      </c>
      <c r="AB181" s="830" t="n"/>
    </row>
    <row r="182" ht="23.75" customHeight="1" thickBot="1">
      <c r="A182" s="51" t="n"/>
      <c r="B182" s="51" t="n"/>
      <c r="C182" s="51" t="n"/>
      <c r="F182" s="46" t="n"/>
      <c r="G182" s="824" t="inlineStr">
        <is>
          <t>руб.</t>
        </is>
      </c>
      <c r="H182" s="823" t="n"/>
      <c r="P182" s="24" t="n"/>
      <c r="Q182" s="822" t="inlineStr">
        <is>
          <t>Запасы сырья и материалов (СиМ)</t>
        </is>
      </c>
      <c r="R182" s="823" t="n"/>
      <c r="V182" s="831" t="inlineStr">
        <is>
          <t>Объем запасов СиМ</t>
        </is>
      </c>
      <c r="W182" s="832" t="n"/>
      <c r="AA182" s="831" t="inlineStr">
        <is>
          <t>Цена запасов СиМ</t>
        </is>
      </c>
      <c r="AB182" s="832" t="n"/>
    </row>
    <row r="183" ht="24.5" customHeight="1" thickBot="1" thickTop="1">
      <c r="A183" s="51" t="n"/>
      <c r="B183" s="51" t="n"/>
      <c r="C183" s="51" t="n"/>
      <c r="E183" s="39" t="n"/>
      <c r="F183" s="93" t="n"/>
      <c r="G183" s="824" t="inlineStr">
        <is>
          <t>Генеральный директор</t>
        </is>
      </c>
      <c r="H183" s="823" t="n"/>
      <c r="I183" s="833" t="inlineStr">
        <is>
          <t>=</t>
        </is>
      </c>
      <c r="J183" s="827" t="n"/>
      <c r="K183" s="827" t="n"/>
      <c r="L183" s="827" t="n"/>
      <c r="M183" s="827" t="n"/>
      <c r="N183" s="827" t="n"/>
      <c r="O183" s="834" t="n"/>
      <c r="P183" s="24" t="n"/>
      <c r="Q183" s="824" t="inlineStr">
        <is>
          <t>руб.</t>
        </is>
      </c>
      <c r="R183" s="823" t="n"/>
      <c r="S183" s="835" t="inlineStr">
        <is>
          <t>=</t>
        </is>
      </c>
      <c r="T183" s="836" t="n"/>
      <c r="U183" s="837" t="n"/>
      <c r="V183" s="838" t="inlineStr">
        <is>
          <t>нат.ед.</t>
        </is>
      </c>
      <c r="W183" s="832" t="n"/>
      <c r="X183" s="839" t="inlineStr">
        <is>
          <t>х</t>
        </is>
      </c>
      <c r="Y183" s="836" t="n"/>
      <c r="Z183" s="837" t="n"/>
      <c r="AA183" s="838" t="inlineStr">
        <is>
          <t>руб.</t>
        </is>
      </c>
      <c r="AB183" s="832" t="n"/>
      <c r="AN183" s="39" t="n"/>
      <c r="AO183" s="39" t="n"/>
      <c r="AP183" s="39" t="n"/>
      <c r="AQ183" s="39" t="n"/>
      <c r="AR183" s="39" t="n"/>
      <c r="AS183" s="39" t="n"/>
      <c r="AT183" s="39" t="n"/>
      <c r="AU183" s="39" t="n"/>
      <c r="AV183" s="39" t="n"/>
      <c r="AW183" s="39" t="n"/>
      <c r="AX183" s="39" t="n"/>
    </row>
    <row r="184" ht="14.75" customHeight="1" thickTop="1">
      <c r="A184" s="51" t="n"/>
      <c r="B184" s="51" t="n"/>
      <c r="C184" s="51" t="n"/>
      <c r="G184" s="87" t="inlineStr">
        <is>
          <t>До проекта</t>
        </is>
      </c>
      <c r="H184" s="88" t="inlineStr">
        <is>
          <t>После проекта</t>
        </is>
      </c>
      <c r="I184" s="102" t="n"/>
      <c r="J184" s="39" t="n"/>
      <c r="K184" s="39" t="n"/>
      <c r="N184" s="39" t="n"/>
      <c r="O184" s="39" t="n"/>
      <c r="P184" s="40" t="n"/>
      <c r="Q184" s="87" t="inlineStr">
        <is>
          <t>Начальник ПЭО</t>
        </is>
      </c>
      <c r="R184" s="88" t="inlineStr">
        <is>
          <t>Директор по производству</t>
        </is>
      </c>
      <c r="S184" s="41" t="n"/>
      <c r="T184" s="42" t="n"/>
      <c r="U184" s="42" t="n"/>
      <c r="V184" s="85" t="inlineStr">
        <is>
          <t>Начальник ПЭО</t>
        </is>
      </c>
      <c r="W184" s="86" t="inlineStr">
        <is>
          <t>Начальник цеха</t>
        </is>
      </c>
      <c r="X184" s="42" t="n"/>
      <c r="Y184" s="42" t="n"/>
      <c r="Z184" s="42" t="n"/>
      <c r="AA184" s="85" t="inlineStr">
        <is>
          <t>Начальник ПЭО</t>
        </is>
      </c>
      <c r="AB184" s="86" t="inlineStr">
        <is>
          <t>Начальник ОС</t>
        </is>
      </c>
      <c r="AC184" s="39" t="n"/>
      <c r="AD184" s="39" t="n"/>
      <c r="AE184" s="39" t="n"/>
      <c r="AF184" s="39" t="n"/>
      <c r="AG184" s="39" t="n"/>
      <c r="AH184" s="39" t="n"/>
      <c r="AI184" s="39" t="n"/>
      <c r="AJ184" s="39" t="n"/>
      <c r="AK184" s="39" t="n"/>
      <c r="AL184" s="39" t="n"/>
      <c r="AM184" s="39" t="n"/>
    </row>
    <row r="185" ht="15" customHeight="1" thickBot="1">
      <c r="A185" s="51" t="n"/>
      <c r="B185" s="51" t="n"/>
      <c r="C185" s="51" t="n"/>
      <c r="G185" s="71">
        <f>VLOOKUP(G180,'Экономический эффект'!$B$9:$F$179,4,FALSE)</f>
        <v/>
      </c>
      <c r="H185" s="72">
        <f>VLOOKUP(G180,'Экономический эффект'!$B$9:$F$179,5,FALSE)</f>
        <v/>
      </c>
      <c r="P185" s="24" t="n"/>
      <c r="Q185" s="87" t="inlineStr">
        <is>
          <t>До проекта</t>
        </is>
      </c>
      <c r="R185" s="88" t="inlineStr">
        <is>
          <t>После проекта</t>
        </is>
      </c>
      <c r="V185" s="85" t="inlineStr">
        <is>
          <t>До проекта</t>
        </is>
      </c>
      <c r="W185" s="86" t="inlineStr">
        <is>
          <t>После проекта</t>
        </is>
      </c>
      <c r="AA185" s="85" t="inlineStr">
        <is>
          <t>До проекта</t>
        </is>
      </c>
      <c r="AB185" s="86" t="inlineStr">
        <is>
          <t>После проекта</t>
        </is>
      </c>
    </row>
    <row r="186" ht="15" customHeight="1" thickBot="1" thickTop="1">
      <c r="A186" s="51" t="n"/>
      <c r="B186" s="51" t="n"/>
      <c r="C186" s="51" t="n"/>
      <c r="G186" s="113" t="inlineStr">
        <is>
          <t>Эффект</t>
        </is>
      </c>
      <c r="H186" s="114">
        <f>(G185-H185)*'Чек-лист'!H187</f>
        <v/>
      </c>
      <c r="P186" s="24" t="n"/>
      <c r="Q186" s="71">
        <f>VLOOKUP(Q181,'Экономический эффект'!$B$9:$F$179,4,FALSE)</f>
        <v/>
      </c>
      <c r="R186" s="72">
        <f>VLOOKUP(Q181,'Экономический эффект'!$B$9:$F$179,5,FALSE)</f>
        <v/>
      </c>
      <c r="V186" s="73">
        <f>VLOOKUP(V181,'Экономический эффект'!$B$9:$F$179,4,FALSE)</f>
        <v/>
      </c>
      <c r="W186" s="74">
        <f>VLOOKUP(V181,'Экономический эффект'!$B$9:$F$179,5,FALSE)</f>
        <v/>
      </c>
      <c r="AA186" s="73">
        <f>VLOOKUP(AA181,'Экономический эффект'!$B$9:$F$179,4,FALSE)</f>
        <v/>
      </c>
      <c r="AB186" s="74">
        <f>VLOOKUP(AA181,'Экономический эффект'!$B$9:$F$179,5,FALSE)</f>
        <v/>
      </c>
    </row>
    <row r="187" ht="15" customHeight="1" thickBot="1" thickTop="1">
      <c r="A187" s="51" t="n"/>
      <c r="B187" s="51" t="n"/>
      <c r="C187" s="51" t="n"/>
      <c r="G187" s="4" t="n"/>
      <c r="H187" s="4" t="n"/>
      <c r="P187" s="24" t="n"/>
      <c r="Q187" s="113" t="inlineStr">
        <is>
          <t>Эффект</t>
        </is>
      </c>
      <c r="R187" s="114">
        <f>Q186-R186</f>
        <v/>
      </c>
      <c r="V187" s="113" t="inlineStr">
        <is>
          <t>Эффект</t>
        </is>
      </c>
      <c r="W187" s="114">
        <f>V186-W186</f>
        <v/>
      </c>
    </row>
    <row r="188" ht="15" customHeight="1" thickTop="1">
      <c r="A188" s="51" t="n"/>
      <c r="B188" s="51" t="n"/>
      <c r="C188" s="51" t="n"/>
      <c r="G188" s="4" t="n"/>
      <c r="H188" s="4" t="n"/>
      <c r="P188" s="24" t="n"/>
      <c r="Q188" s="825" t="inlineStr">
        <is>
          <t>+</t>
        </is>
      </c>
      <c r="R188" s="826" t="n"/>
    </row>
    <row r="189" ht="15" customHeight="1" thickBot="1">
      <c r="A189" s="51" t="n"/>
      <c r="B189" s="51" t="n"/>
      <c r="C189" s="51" t="n"/>
      <c r="G189" s="4" t="n"/>
      <c r="H189" s="4" t="n"/>
      <c r="P189" s="24" t="n"/>
      <c r="Q189" s="827" t="n"/>
      <c r="R189" s="827" t="n"/>
    </row>
    <row r="190" ht="26.75" customHeight="1" thickTop="1">
      <c r="A190" s="51" t="n"/>
      <c r="B190" s="51" t="n"/>
      <c r="C190" s="51" t="n"/>
      <c r="G190" s="4" t="n"/>
      <c r="H190" s="4" t="n"/>
      <c r="P190" s="24" t="n"/>
      <c r="Q190" s="820" t="inlineStr">
        <is>
          <t>РК1.4</t>
        </is>
      </c>
      <c r="R190" s="821" t="n"/>
      <c r="V190" s="829" t="inlineStr">
        <is>
          <t>РК1.4.1</t>
        </is>
      </c>
      <c r="W190" s="830" t="n"/>
      <c r="AA190" s="829" t="inlineStr">
        <is>
          <t>РК1.4.2</t>
        </is>
      </c>
      <c r="AB190" s="830" t="n"/>
    </row>
    <row r="191" ht="24.5" customHeight="1">
      <c r="A191" s="51" t="n"/>
      <c r="B191" s="51" t="n"/>
      <c r="C191" s="51" t="n"/>
      <c r="G191" s="4" t="n"/>
      <c r="H191" s="4" t="n"/>
      <c r="P191" s="24" t="n"/>
      <c r="Q191" s="822" t="inlineStr">
        <is>
          <t>Запасы готовой продукции (ГП)</t>
        </is>
      </c>
      <c r="R191" s="823" t="n"/>
      <c r="V191" s="831" t="inlineStr">
        <is>
          <t>Объем запасов ГП</t>
        </is>
      </c>
      <c r="W191" s="832" t="n"/>
      <c r="AA191" s="831" t="inlineStr">
        <is>
          <t>Цена запасов ГП</t>
        </is>
      </c>
      <c r="AB191" s="832" t="n"/>
    </row>
    <row r="192" ht="25" customFormat="1" customHeight="1" s="39" thickBot="1">
      <c r="A192" s="51" t="n"/>
      <c r="B192" s="51" t="n"/>
      <c r="C192" s="51" t="n"/>
      <c r="G192" s="4" t="n"/>
      <c r="H192" s="4" t="n"/>
      <c r="M192" s="1" t="n"/>
      <c r="P192" s="24" t="n"/>
      <c r="Q192" s="824" t="inlineStr">
        <is>
          <t>руб.</t>
        </is>
      </c>
      <c r="R192" s="823" t="n"/>
      <c r="S192" s="835" t="inlineStr">
        <is>
          <t>=</t>
        </is>
      </c>
      <c r="T192" s="836" t="n"/>
      <c r="U192" s="837" t="n"/>
      <c r="V192" s="838" t="inlineStr">
        <is>
          <t>нат.ед.</t>
        </is>
      </c>
      <c r="W192" s="832" t="n"/>
      <c r="X192" s="839" t="inlineStr">
        <is>
          <t>х</t>
        </is>
      </c>
      <c r="Y192" s="836" t="n"/>
      <c r="Z192" s="837" t="n"/>
      <c r="AA192" s="838" t="inlineStr">
        <is>
          <t>руб.</t>
        </is>
      </c>
      <c r="AB192" s="832" t="n"/>
    </row>
    <row r="193" ht="14.75" customHeight="1" thickTop="1">
      <c r="A193" s="51" t="n"/>
      <c r="B193" s="51" t="n"/>
      <c r="C193" s="51" t="n"/>
      <c r="G193" s="4" t="n"/>
      <c r="H193" s="4" t="n"/>
      <c r="P193" s="26" t="n"/>
      <c r="Q193" s="87" t="inlineStr">
        <is>
          <t>Начальник ПЭО</t>
        </is>
      </c>
      <c r="R193" s="88" t="inlineStr">
        <is>
          <t>Коммерческий директор</t>
        </is>
      </c>
      <c r="S193" s="27" t="n"/>
      <c r="T193" s="28" t="n"/>
      <c r="U193" s="28" t="n"/>
      <c r="V193" s="85" t="inlineStr">
        <is>
          <t>Начальник ПЭО</t>
        </is>
      </c>
      <c r="W193" s="86" t="inlineStr">
        <is>
          <t>Начальник отдела продаж</t>
        </is>
      </c>
      <c r="X193" s="28" t="n"/>
      <c r="Y193" s="28" t="n"/>
      <c r="Z193" s="28" t="n"/>
      <c r="AA193" s="85" t="inlineStr">
        <is>
          <t>Начальник ПЭО</t>
        </is>
      </c>
      <c r="AB193" s="86" t="inlineStr">
        <is>
          <t>Начальник отдела продаж</t>
        </is>
      </c>
    </row>
    <row r="194" ht="15" customHeight="1">
      <c r="A194" s="51" t="n"/>
      <c r="B194" s="51" t="n"/>
      <c r="C194" s="51" t="n"/>
      <c r="G194" s="4" t="n"/>
      <c r="H194" s="4" t="n"/>
      <c r="P194" s="24" t="n"/>
      <c r="Q194" s="87" t="inlineStr">
        <is>
          <t>До проекта</t>
        </is>
      </c>
      <c r="R194" s="88" t="inlineStr">
        <is>
          <t>После проекта</t>
        </is>
      </c>
      <c r="V194" s="85" t="inlineStr">
        <is>
          <t>До проекта</t>
        </is>
      </c>
      <c r="W194" s="86" t="inlineStr">
        <is>
          <t>После проекта</t>
        </is>
      </c>
      <c r="AA194" s="85" t="inlineStr">
        <is>
          <t>До проекта</t>
        </is>
      </c>
      <c r="AB194" s="86" t="inlineStr">
        <is>
          <t>После проекта</t>
        </is>
      </c>
    </row>
    <row r="195" ht="14" customHeight="1" thickBot="1">
      <c r="A195" s="51" t="n"/>
      <c r="B195" s="51" t="n"/>
      <c r="C195" s="51" t="n"/>
      <c r="G195" s="4" t="n"/>
      <c r="H195" s="4" t="n"/>
      <c r="P195" s="24" t="n"/>
      <c r="Q195" s="71">
        <f>VLOOKUP(Q190,'Экономический эффект'!$B$9:$F$179,4,FALSE)</f>
        <v/>
      </c>
      <c r="R195" s="72">
        <f>VLOOKUP(Q190,'Экономический эффект'!$B$9:$F$179,5,FALSE)</f>
        <v/>
      </c>
      <c r="V195" s="73">
        <f>VLOOKUP(V190,'Экономический эффект'!$B$9:$F$179,4,FALSE)</f>
        <v/>
      </c>
      <c r="W195" s="74">
        <f>VLOOKUP(V190,'Экономический эффект'!$B$9:$F$179,5,FALSE)</f>
        <v/>
      </c>
      <c r="AA195" s="73">
        <f>VLOOKUP(AA190,'Экономический эффект'!$B$9:$F$179,4,FALSE)</f>
        <v/>
      </c>
      <c r="AB195" s="74">
        <f>VLOOKUP(AA190,'Экономический эффект'!$B$9:$F$179,5,FALSE)</f>
        <v/>
      </c>
    </row>
    <row r="196" ht="14" customHeight="1" thickBot="1" thickTop="1">
      <c r="A196" s="51" t="n"/>
      <c r="B196" s="51" t="n"/>
      <c r="C196" s="51" t="n"/>
      <c r="G196" s="4" t="n"/>
      <c r="H196" s="4" t="n"/>
      <c r="P196" s="24" t="n"/>
      <c r="Q196" s="113" t="inlineStr">
        <is>
          <t>Эффект</t>
        </is>
      </c>
      <c r="R196" s="114">
        <f>Q195-R195</f>
        <v/>
      </c>
      <c r="V196" s="113" t="inlineStr">
        <is>
          <t>Эффект</t>
        </is>
      </c>
      <c r="W196" s="114">
        <f>V195-W195</f>
        <v/>
      </c>
    </row>
    <row r="197" ht="14" customHeight="1" thickTop="1">
      <c r="A197" s="51" t="n"/>
      <c r="B197" s="51" t="n"/>
      <c r="C197" s="51" t="n"/>
      <c r="G197" s="4" t="n"/>
      <c r="H197" s="4" t="n"/>
      <c r="P197" s="24" t="n"/>
      <c r="Q197" s="825" t="inlineStr">
        <is>
          <t>+</t>
        </is>
      </c>
      <c r="R197" s="826" t="n"/>
    </row>
    <row r="198" ht="15" customHeight="1" thickBot="1">
      <c r="A198" s="51" t="n"/>
      <c r="B198" s="51" t="n"/>
      <c r="C198" s="51" t="n"/>
      <c r="G198" s="4" t="n"/>
      <c r="H198" s="4" t="n"/>
      <c r="P198" s="24" t="n"/>
      <c r="Q198" s="827" t="n"/>
      <c r="R198" s="827" t="n"/>
    </row>
    <row r="199" ht="26.75" customHeight="1" thickTop="1">
      <c r="A199" s="51" t="n"/>
      <c r="B199" s="51" t="n"/>
      <c r="C199" s="51" t="n"/>
      <c r="G199" s="4" t="n"/>
      <c r="H199" s="4" t="n"/>
      <c r="P199" s="24" t="n"/>
      <c r="Q199" s="820" t="inlineStr">
        <is>
          <t>РК1.5</t>
        </is>
      </c>
      <c r="R199" s="821" t="n"/>
      <c r="V199" s="829" t="inlineStr">
        <is>
          <t>РК1.5.1</t>
        </is>
      </c>
      <c r="W199" s="830" t="n"/>
      <c r="AA199" s="829" t="inlineStr">
        <is>
          <t>РК1.5.2</t>
        </is>
      </c>
      <c r="AB199" s="830" t="n"/>
    </row>
    <row r="200" ht="24" customHeight="1">
      <c r="A200" s="51" t="n"/>
      <c r="B200" s="51" t="n"/>
      <c r="C200" s="51" t="n"/>
      <c r="G200" s="4" t="n"/>
      <c r="H200" s="4" t="n"/>
      <c r="P200" s="24" t="n"/>
      <c r="Q200" s="822" t="inlineStr">
        <is>
          <t>Запасы незавершенного производства (НЗП)</t>
        </is>
      </c>
      <c r="R200" s="823" t="n"/>
      <c r="V200" s="831" t="inlineStr">
        <is>
          <t>Объем запасов НЗП</t>
        </is>
      </c>
      <c r="W200" s="832" t="n"/>
      <c r="AA200" s="831" t="inlineStr">
        <is>
          <t>Цена запасов НЗП</t>
        </is>
      </c>
      <c r="AB200" s="832" t="n"/>
    </row>
    <row r="201" ht="25" customHeight="1" thickBot="1">
      <c r="A201" s="51" t="n"/>
      <c r="B201" s="51" t="n"/>
      <c r="C201" s="51" t="n"/>
      <c r="G201" s="4" t="n"/>
      <c r="H201" s="4" t="n"/>
      <c r="P201" s="25" t="n"/>
      <c r="Q201" s="824" t="inlineStr">
        <is>
          <t>руб.</t>
        </is>
      </c>
      <c r="R201" s="823" t="n"/>
      <c r="S201" s="835" t="inlineStr">
        <is>
          <t>=</t>
        </is>
      </c>
      <c r="T201" s="836" t="n"/>
      <c r="U201" s="837" t="n"/>
      <c r="V201" s="838" t="inlineStr">
        <is>
          <t>нат.ед.</t>
        </is>
      </c>
      <c r="W201" s="832" t="n"/>
      <c r="X201" s="839" t="inlineStr">
        <is>
          <t>х</t>
        </is>
      </c>
      <c r="Y201" s="836" t="n"/>
      <c r="Z201" s="837" t="n"/>
      <c r="AA201" s="838" t="inlineStr">
        <is>
          <t>руб.</t>
        </is>
      </c>
      <c r="AB201" s="832" t="n"/>
    </row>
    <row r="202" ht="14.75" customHeight="1" thickTop="1">
      <c r="A202" s="51" t="n"/>
      <c r="B202" s="51" t="n"/>
      <c r="C202" s="51" t="n"/>
      <c r="G202" s="4" t="n"/>
      <c r="H202" s="4" t="n"/>
      <c r="Q202" s="87" t="inlineStr">
        <is>
          <t>Начальник ПЭО</t>
        </is>
      </c>
      <c r="R202" s="88" t="inlineStr">
        <is>
          <t>Директор по производству</t>
        </is>
      </c>
      <c r="S202" s="27" t="n"/>
      <c r="T202" s="28" t="n"/>
      <c r="U202" s="28" t="n"/>
      <c r="V202" s="85" t="inlineStr">
        <is>
          <t>Начальник ПЭО</t>
        </is>
      </c>
      <c r="W202" s="86" t="inlineStr">
        <is>
          <t>Начальник цеха</t>
        </is>
      </c>
      <c r="X202" s="28" t="n"/>
      <c r="Y202" s="28" t="n"/>
      <c r="Z202" s="28" t="n"/>
      <c r="AA202" s="838" t="inlineStr">
        <is>
          <t>Начальник ПЭО</t>
        </is>
      </c>
      <c r="AB202" s="832" t="n"/>
    </row>
    <row r="203" ht="15" customHeight="1">
      <c r="A203" s="51" t="n"/>
      <c r="B203" s="51" t="n"/>
      <c r="C203" s="51" t="n"/>
      <c r="G203" s="4" t="n"/>
      <c r="H203" s="4" t="n"/>
      <c r="Q203" s="87" t="inlineStr">
        <is>
          <t>До проекта</t>
        </is>
      </c>
      <c r="R203" s="88" t="inlineStr">
        <is>
          <t>После проекта</t>
        </is>
      </c>
      <c r="V203" s="85" t="inlineStr">
        <is>
          <t>До проекта</t>
        </is>
      </c>
      <c r="W203" s="86" t="inlineStr">
        <is>
          <t>После проекта</t>
        </is>
      </c>
      <c r="AA203" s="85" t="inlineStr">
        <is>
          <t>До проекта</t>
        </is>
      </c>
      <c r="AB203" s="86" t="inlineStr">
        <is>
          <t>После проекта</t>
        </is>
      </c>
    </row>
    <row r="204" ht="15" customHeight="1" thickBot="1">
      <c r="A204" s="51" t="n"/>
      <c r="B204" s="51" t="n"/>
      <c r="C204" s="51" t="n"/>
      <c r="G204" s="4" t="n"/>
      <c r="H204" s="4" t="n"/>
      <c r="Q204" s="71">
        <f>VLOOKUP(Q199,'Экономический эффект'!$B$9:$F$179,4,FALSE)</f>
        <v/>
      </c>
      <c r="R204" s="72">
        <f>VLOOKUP(Q199,'Экономический эффект'!$B$9:$F$179,5,FALSE)</f>
        <v/>
      </c>
      <c r="V204" s="73">
        <f>VLOOKUP(V199,'Экономический эффект'!$B$9:$F$179,4,FALSE)</f>
        <v/>
      </c>
      <c r="W204" s="74">
        <f>VLOOKUP(V199,'Экономический эффект'!$B$9:$F$179,5,FALSE)</f>
        <v/>
      </c>
      <c r="AA204" s="73">
        <f>VLOOKUP(AA199,'Экономический эффект'!$B$9:$F$179,4,FALSE)</f>
        <v/>
      </c>
      <c r="AB204" s="74">
        <f>VLOOKUP(AA199,'Экономический эффект'!$B$9:$F$179,5,FALSE)</f>
        <v/>
      </c>
    </row>
    <row r="205" ht="15" customHeight="1" thickBot="1" thickTop="1">
      <c r="A205" s="51" t="n"/>
      <c r="B205" s="51" t="n"/>
      <c r="C205" s="51" t="n"/>
      <c r="G205" s="4" t="n"/>
      <c r="H205" s="4" t="n"/>
      <c r="Q205" s="113" t="inlineStr">
        <is>
          <t>Эффект</t>
        </is>
      </c>
      <c r="R205" s="114">
        <f>Q204-R204</f>
        <v/>
      </c>
      <c r="V205" s="113" t="inlineStr">
        <is>
          <t>Эффект</t>
        </is>
      </c>
      <c r="W205" s="114">
        <f>V204-W204</f>
        <v/>
      </c>
    </row>
    <row r="206" ht="15" customHeight="1" thickTop="1">
      <c r="A206" s="51" t="n"/>
      <c r="B206" s="51" t="n"/>
      <c r="C206" s="51" t="n"/>
    </row>
    <row r="207" ht="15" customHeight="1">
      <c r="A207" s="51" t="n"/>
      <c r="B207" s="51" t="n"/>
      <c r="C207" s="51" t="n"/>
    </row>
    <row r="208" ht="27.5" customHeight="1">
      <c r="A208" s="51" t="n"/>
      <c r="B208" s="51" t="n"/>
      <c r="C208" s="51" t="n"/>
    </row>
    <row r="209" ht="24.5" customHeight="1">
      <c r="A209" s="51" t="n"/>
      <c r="B209" s="51" t="n"/>
      <c r="C209" s="51" t="n"/>
    </row>
    <row r="210" ht="27.5" customHeight="1">
      <c r="A210" s="51" t="n"/>
      <c r="B210" s="51" t="n"/>
      <c r="C210" s="51" t="n"/>
    </row>
    <row r="211" ht="14.75" customHeight="1">
      <c r="A211" s="51" t="n"/>
      <c r="B211" s="51" t="n"/>
      <c r="C211" s="51" t="n"/>
    </row>
    <row r="212" ht="15" customHeight="1">
      <c r="A212" s="51" t="n"/>
      <c r="B212" s="51" t="n"/>
      <c r="C212" s="51" t="n"/>
    </row>
    <row r="213" ht="15.5" customHeight="1">
      <c r="A213" s="51" t="n"/>
      <c r="B213" s="51" t="n"/>
      <c r="C213" s="51" t="n"/>
    </row>
    <row r="214" ht="15" customHeight="1">
      <c r="A214" s="51" t="n"/>
      <c r="B214" s="51" t="n"/>
      <c r="C214" s="51" t="n"/>
    </row>
    <row r="215" ht="19" customHeight="1">
      <c r="B215" s="51" t="n"/>
      <c r="C215" s="51" t="n"/>
    </row>
  </sheetData>
  <mergeCells count="329">
    <mergeCell ref="Q183:R183"/>
    <mergeCell ref="V100:W100"/>
    <mergeCell ref="Q164:R164"/>
    <mergeCell ref="N94:O94"/>
    <mergeCell ref="V102:W102"/>
    <mergeCell ref="X5:Z5"/>
    <mergeCell ref="L136:M136"/>
    <mergeCell ref="V84:W84"/>
    <mergeCell ref="AA123:AB123"/>
    <mergeCell ref="V127:W127"/>
    <mergeCell ref="I183:O183"/>
    <mergeCell ref="Q201:R201"/>
    <mergeCell ref="G139:H139"/>
    <mergeCell ref="V191:W191"/>
    <mergeCell ref="AK76:AL76"/>
    <mergeCell ref="AA108:AB108"/>
    <mergeCell ref="X192:Z192"/>
    <mergeCell ref="AA109:AB109"/>
    <mergeCell ref="AA47:AB47"/>
    <mergeCell ref="AA22:AB22"/>
    <mergeCell ref="AA92:AB92"/>
    <mergeCell ref="B129:C129"/>
    <mergeCell ref="AK75:AL75"/>
    <mergeCell ref="Q116:R116"/>
    <mergeCell ref="B131:C131"/>
    <mergeCell ref="Q145:R145"/>
    <mergeCell ref="G125:H125"/>
    <mergeCell ref="V10:W10"/>
    <mergeCell ref="V181:W181"/>
    <mergeCell ref="AA182:AB182"/>
    <mergeCell ref="Q38:R38"/>
    <mergeCell ref="Q45:R46"/>
    <mergeCell ref="Q147:R147"/>
    <mergeCell ref="N102:O102"/>
    <mergeCell ref="G127:H127"/>
    <mergeCell ref="C138:C139"/>
    <mergeCell ref="I127:J127"/>
    <mergeCell ref="V39:W39"/>
    <mergeCell ref="V110:W110"/>
    <mergeCell ref="Q40:R40"/>
    <mergeCell ref="S40:T40"/>
    <mergeCell ref="Q15:R15"/>
    <mergeCell ref="V103:W103"/>
    <mergeCell ref="S192:U192"/>
    <mergeCell ref="AK65:AL65"/>
    <mergeCell ref="V118:W118"/>
    <mergeCell ref="Q138:R138"/>
    <mergeCell ref="G140:H140"/>
    <mergeCell ref="V192:W192"/>
    <mergeCell ref="AF56:AG56"/>
    <mergeCell ref="V200:W200"/>
    <mergeCell ref="V94:W94"/>
    <mergeCell ref="AA117:AB117"/>
    <mergeCell ref="Q135:R135"/>
    <mergeCell ref="AA48:AB48"/>
    <mergeCell ref="Q109:R109"/>
    <mergeCell ref="S94:U94"/>
    <mergeCell ref="AA183:AB183"/>
    <mergeCell ref="Q48:R48"/>
    <mergeCell ref="AF75:AG75"/>
    <mergeCell ref="N118:O118"/>
    <mergeCell ref="V126:W126"/>
    <mergeCell ref="Q56:R56"/>
    <mergeCell ref="C141:C142"/>
    <mergeCell ref="AD3:AH3"/>
    <mergeCell ref="AF39:AG39"/>
    <mergeCell ref="AD5:AH5"/>
    <mergeCell ref="AB4:AC4"/>
    <mergeCell ref="L13:M13"/>
    <mergeCell ref="V4:W4"/>
    <mergeCell ref="X201:Z201"/>
    <mergeCell ref="V137:W137"/>
    <mergeCell ref="V26:W26"/>
    <mergeCell ref="AA127:AB127"/>
    <mergeCell ref="S102:U102"/>
    <mergeCell ref="V57:W57"/>
    <mergeCell ref="Q125:R125"/>
    <mergeCell ref="V86:W86"/>
    <mergeCell ref="AA38:AB38"/>
    <mergeCell ref="V58:W58"/>
    <mergeCell ref="Q127:R127"/>
    <mergeCell ref="AF49:AG49"/>
    <mergeCell ref="AA40:AB40"/>
    <mergeCell ref="AA57:AB57"/>
    <mergeCell ref="Q93:R93"/>
    <mergeCell ref="AA146:AB146"/>
    <mergeCell ref="I137:K137"/>
    <mergeCell ref="Q9:R9"/>
    <mergeCell ref="S9:T9"/>
    <mergeCell ref="L144:M144"/>
    <mergeCell ref="X86:Z86"/>
    <mergeCell ref="AA110:AB110"/>
    <mergeCell ref="AF40:AG40"/>
    <mergeCell ref="Q17:R17"/>
    <mergeCell ref="Q182:R182"/>
    <mergeCell ref="G183:H183"/>
    <mergeCell ref="V109:W109"/>
    <mergeCell ref="AD6:AH7"/>
    <mergeCell ref="L145:M145"/>
    <mergeCell ref="AK67:AL67"/>
    <mergeCell ref="Q75:R75"/>
    <mergeCell ref="V145:W145"/>
    <mergeCell ref="L110:M110"/>
    <mergeCell ref="AK48:AL48"/>
    <mergeCell ref="V101:W101"/>
    <mergeCell ref="AA199:AB199"/>
    <mergeCell ref="Q39:R39"/>
    <mergeCell ref="AF66:AG66"/>
    <mergeCell ref="AA30:AB30"/>
    <mergeCell ref="S118:U118"/>
    <mergeCell ref="N146:P146"/>
    <mergeCell ref="AK41:AL41"/>
    <mergeCell ref="L18:M37"/>
    <mergeCell ref="Q65:R65"/>
    <mergeCell ref="AA56:AB56"/>
    <mergeCell ref="Q197:R198"/>
    <mergeCell ref="Q172:R172"/>
    <mergeCell ref="AK49:AL49"/>
    <mergeCell ref="V95:W95"/>
    <mergeCell ref="AA85:AB85"/>
    <mergeCell ref="AF48:AG48"/>
    <mergeCell ref="Q146:R146"/>
    <mergeCell ref="X127:Z127"/>
    <mergeCell ref="AK39:AL39"/>
    <mergeCell ref="Q14:R14"/>
    <mergeCell ref="Q85:R85"/>
    <mergeCell ref="L126:M126"/>
    <mergeCell ref="AF74:AG74"/>
    <mergeCell ref="V123:W123"/>
    <mergeCell ref="L153:M153"/>
    <mergeCell ref="AA65:AB65"/>
    <mergeCell ref="AF76:AG76"/>
    <mergeCell ref="G150:H179"/>
    <mergeCell ref="AA31:AB31"/>
    <mergeCell ref="AA202:AB202"/>
    <mergeCell ref="B141:B142"/>
    <mergeCell ref="L91:M107"/>
    <mergeCell ref="V3:W3"/>
    <mergeCell ref="L108:M108"/>
    <mergeCell ref="L151:M152"/>
    <mergeCell ref="V92:W92"/>
    <mergeCell ref="V5:W5"/>
    <mergeCell ref="AK57:AL57"/>
    <mergeCell ref="AA93:AB93"/>
    <mergeCell ref="Q8:R8"/>
    <mergeCell ref="S137:U137"/>
    <mergeCell ref="AA86:AB86"/>
    <mergeCell ref="C3:L3"/>
    <mergeCell ref="Q181:R181"/>
    <mergeCell ref="AK58:AL58"/>
    <mergeCell ref="S201:U201"/>
    <mergeCell ref="AA101:AB101"/>
    <mergeCell ref="AF1:AH1"/>
    <mergeCell ref="Q84:R84"/>
    <mergeCell ref="AA75:AB75"/>
    <mergeCell ref="G29:H29"/>
    <mergeCell ref="Q86:R86"/>
    <mergeCell ref="Q191:R191"/>
    <mergeCell ref="Q163:R163"/>
    <mergeCell ref="Q101:R101"/>
    <mergeCell ref="Q128:R128"/>
    <mergeCell ref="L154:M154"/>
    <mergeCell ref="AD4:AH4"/>
    <mergeCell ref="V116:W116"/>
    <mergeCell ref="X146:Z146"/>
    <mergeCell ref="V111:W111"/>
    <mergeCell ref="V33:W37"/>
    <mergeCell ref="AA147:AB147"/>
    <mergeCell ref="G128:H128"/>
    <mergeCell ref="AB6:AC7"/>
    <mergeCell ref="G34:H124"/>
    <mergeCell ref="V108:W108"/>
    <mergeCell ref="L38:M38"/>
    <mergeCell ref="L109:M109"/>
    <mergeCell ref="Q99:R99"/>
    <mergeCell ref="Q74:R74"/>
    <mergeCell ref="Q49:R49"/>
    <mergeCell ref="Q110:R110"/>
    <mergeCell ref="L40:M40"/>
    <mergeCell ref="Q76:R76"/>
    <mergeCell ref="Q174:R174"/>
    <mergeCell ref="AA94:AB94"/>
    <mergeCell ref="Q199:R199"/>
    <mergeCell ref="AA125:AB125"/>
    <mergeCell ref="Q136:R136"/>
    <mergeCell ref="L137:M137"/>
    <mergeCell ref="Q102:R102"/>
    <mergeCell ref="Q200:R200"/>
    <mergeCell ref="V190:W190"/>
    <mergeCell ref="AA191:AB191"/>
    <mergeCell ref="V117:W117"/>
    <mergeCell ref="X183:Z183"/>
    <mergeCell ref="V119:W119"/>
    <mergeCell ref="Q179:R180"/>
    <mergeCell ref="Q107:R107"/>
    <mergeCell ref="Q57:R57"/>
    <mergeCell ref="V183:W183"/>
    <mergeCell ref="AA100:AB100"/>
    <mergeCell ref="Q100:R100"/>
    <mergeCell ref="L125:M125"/>
    <mergeCell ref="AA181:AB181"/>
    <mergeCell ref="N127:P127"/>
    <mergeCell ref="Q115:R115"/>
    <mergeCell ref="V38:W38"/>
    <mergeCell ref="AA102:AB102"/>
    <mergeCell ref="V13:W13"/>
    <mergeCell ref="G126:H126"/>
    <mergeCell ref="Q126:R126"/>
    <mergeCell ref="AA39:AB39"/>
    <mergeCell ref="Q190:R190"/>
    <mergeCell ref="C144:C145"/>
    <mergeCell ref="G132:H138"/>
    <mergeCell ref="G142:H142"/>
    <mergeCell ref="V138:W138"/>
    <mergeCell ref="V27:W27"/>
    <mergeCell ref="L138:M138"/>
    <mergeCell ref="AA128:AB128"/>
    <mergeCell ref="X110:Z110"/>
    <mergeCell ref="L143:M143"/>
    <mergeCell ref="AA192:AB192"/>
    <mergeCell ref="AK56:AL56"/>
    <mergeCell ref="AF47:AG47"/>
    <mergeCell ref="L11:M11"/>
    <mergeCell ref="AA23:AB23"/>
    <mergeCell ref="Q47:R47"/>
    <mergeCell ref="V135:W135"/>
    <mergeCell ref="Q170:R171"/>
    <mergeCell ref="N110:O110"/>
    <mergeCell ref="Q188:R189"/>
    <mergeCell ref="X94:Z94"/>
    <mergeCell ref="Q58:R58"/>
    <mergeCell ref="L127:M127"/>
    <mergeCell ref="AA49:AB49"/>
    <mergeCell ref="G28:H28"/>
    <mergeCell ref="I28:J28"/>
    <mergeCell ref="V40:W40"/>
    <mergeCell ref="AA116:AB116"/>
    <mergeCell ref="L156:M156"/>
    <mergeCell ref="L128:M128"/>
    <mergeCell ref="AA118:AB118"/>
    <mergeCell ref="V146:W146"/>
    <mergeCell ref="S86:U86"/>
    <mergeCell ref="AB3:AC3"/>
    <mergeCell ref="Q7:R7"/>
    <mergeCell ref="AA29:AB29"/>
    <mergeCell ref="AA200:AB200"/>
    <mergeCell ref="AB5:AC5"/>
    <mergeCell ref="AF67:AG67"/>
    <mergeCell ref="L146:M146"/>
    <mergeCell ref="G181:H181"/>
    <mergeCell ref="AA58:AB58"/>
    <mergeCell ref="Q117:R117"/>
    <mergeCell ref="L12:M12"/>
    <mergeCell ref="C7:L9"/>
    <mergeCell ref="AA24:AB24"/>
    <mergeCell ref="V28:W28"/>
    <mergeCell ref="V199:W199"/>
    <mergeCell ref="Q165:R165"/>
    <mergeCell ref="L39:M39"/>
    <mergeCell ref="V136:W136"/>
    <mergeCell ref="X102:Z102"/>
    <mergeCell ref="AA84:AB84"/>
    <mergeCell ref="L115:M124"/>
    <mergeCell ref="V125:W125"/>
    <mergeCell ref="AF38:AG38"/>
    <mergeCell ref="Q66:R66"/>
    <mergeCell ref="AA126:AB126"/>
    <mergeCell ref="V56:W56"/>
    <mergeCell ref="AA144:AB144"/>
    <mergeCell ref="AA190:AB190"/>
    <mergeCell ref="V85:W85"/>
    <mergeCell ref="AF57:AG57"/>
    <mergeCell ref="AK47:AL47"/>
    <mergeCell ref="B130:C130"/>
    <mergeCell ref="N137:P137"/>
    <mergeCell ref="S127:U127"/>
    <mergeCell ref="AK38:AL38"/>
    <mergeCell ref="B132:C132"/>
    <mergeCell ref="L85:M85"/>
    <mergeCell ref="V11:W11"/>
    <mergeCell ref="V182:W182"/>
    <mergeCell ref="Q137:R137"/>
    <mergeCell ref="Q173:R173"/>
    <mergeCell ref="L84:M84"/>
    <mergeCell ref="G26:H26"/>
    <mergeCell ref="AA74:AB74"/>
    <mergeCell ref="Q123:R123"/>
    <mergeCell ref="AA145:AB145"/>
    <mergeCell ref="AA201:AB201"/>
    <mergeCell ref="AA76:AB76"/>
    <mergeCell ref="B144:B145"/>
    <mergeCell ref="V144:W144"/>
    <mergeCell ref="AK66:AL66"/>
    <mergeCell ref="C5:L6"/>
    <mergeCell ref="X118:Z118"/>
    <mergeCell ref="Q92:R92"/>
    <mergeCell ref="G141:H141"/>
    <mergeCell ref="Q67:R67"/>
    <mergeCell ref="V93:W93"/>
    <mergeCell ref="Q94:R94"/>
    <mergeCell ref="I143:J143"/>
    <mergeCell ref="C4:L4"/>
    <mergeCell ref="AF58:AG58"/>
    <mergeCell ref="AK40:AL40"/>
    <mergeCell ref="S110:U110"/>
    <mergeCell ref="Q192:R192"/>
    <mergeCell ref="C32:D32"/>
    <mergeCell ref="L155:M155"/>
    <mergeCell ref="L135:M135"/>
    <mergeCell ref="L86:M86"/>
    <mergeCell ref="Q16:R16"/>
    <mergeCell ref="V12:W12"/>
    <mergeCell ref="N86:O86"/>
    <mergeCell ref="V45:W55"/>
    <mergeCell ref="G27:H27"/>
    <mergeCell ref="AK74:AL74"/>
    <mergeCell ref="S146:U146"/>
    <mergeCell ref="AF65:AG65"/>
    <mergeCell ref="Q118:R118"/>
    <mergeCell ref="V201:W201"/>
    <mergeCell ref="G180:H180"/>
    <mergeCell ref="S183:U183"/>
    <mergeCell ref="AA66:AB66"/>
    <mergeCell ref="B138:B139"/>
    <mergeCell ref="G182:H182"/>
    <mergeCell ref="Q108:R108"/>
    <mergeCell ref="Q144:R144"/>
    <mergeCell ref="AA67:AB67"/>
    <mergeCell ref="AA32:AB32"/>
  </mergeCells>
  <conditionalFormatting sqref="M16">
    <cfRule type="cellIs" priority="438" operator="lessThan" dxfId="2">
      <formula>L16</formula>
    </cfRule>
    <cfRule type="cellIs" priority="439" operator="greaterThanOrEqual" dxfId="1">
      <formula>L16</formula>
    </cfRule>
  </conditionalFormatting>
  <conditionalFormatting sqref="H31">
    <cfRule type="cellIs" priority="416" operator="lessThan" dxfId="2">
      <formula>G31</formula>
    </cfRule>
    <cfRule type="cellIs" priority="417" operator="greaterThanOrEqual" dxfId="1">
      <formula>G31</formula>
    </cfRule>
  </conditionalFormatting>
  <conditionalFormatting sqref="R89">
    <cfRule type="cellIs" priority="378" operator="lessThan" dxfId="2">
      <formula>Q89</formula>
    </cfRule>
    <cfRule type="cellIs" priority="379" operator="greaterThanOrEqual" dxfId="1">
      <formula>Q89</formula>
    </cfRule>
  </conditionalFormatting>
  <conditionalFormatting sqref="W89">
    <cfRule type="cellIs" priority="368" operator="greaterThan" dxfId="2">
      <formula>V89</formula>
    </cfRule>
    <cfRule type="cellIs" priority="369" operator="lessThanOrEqual" dxfId="1">
      <formula>V89</formula>
    </cfRule>
  </conditionalFormatting>
  <conditionalFormatting sqref="AB89">
    <cfRule type="cellIs" priority="366" operator="greaterThan" dxfId="2">
      <formula>AA89</formula>
    </cfRule>
    <cfRule type="cellIs" priority="367" operator="lessThanOrEqual" dxfId="1">
      <formula>AA89</formula>
    </cfRule>
  </conditionalFormatting>
  <conditionalFormatting sqref="R130">
    <cfRule type="cellIs" priority="306" operator="greaterThan" dxfId="2">
      <formula>Q130</formula>
    </cfRule>
    <cfRule type="cellIs" priority="307" operator="lessThanOrEqual" dxfId="1">
      <formula>Q130</formula>
    </cfRule>
  </conditionalFormatting>
  <conditionalFormatting sqref="W130">
    <cfRule type="cellIs" priority="304" operator="greaterThan" dxfId="2">
      <formula>V130</formula>
    </cfRule>
    <cfRule type="cellIs" priority="305" operator="lessThanOrEqual" dxfId="1">
      <formula>V130</formula>
    </cfRule>
  </conditionalFormatting>
  <conditionalFormatting sqref="AB130">
    <cfRule type="cellIs" priority="302" operator="greaterThan" dxfId="2">
      <formula>AA130</formula>
    </cfRule>
    <cfRule type="cellIs" priority="303" operator="lessThanOrEqual" dxfId="1">
      <formula>AA130</formula>
    </cfRule>
  </conditionalFormatting>
  <conditionalFormatting sqref="R168">
    <cfRule type="cellIs" priority="270" operator="greaterThan" dxfId="2">
      <formula>Q168</formula>
    </cfRule>
    <cfRule type="cellIs" priority="271" operator="lessThanOrEqual" dxfId="1">
      <formula>Q168</formula>
    </cfRule>
  </conditionalFormatting>
  <conditionalFormatting sqref="R186">
    <cfRule type="cellIs" priority="268" operator="greaterThan" dxfId="2">
      <formula>Q186</formula>
    </cfRule>
    <cfRule type="cellIs" priority="269" operator="lessThanOrEqual" dxfId="1">
      <formula>Q186</formula>
    </cfRule>
  </conditionalFormatting>
  <conditionalFormatting sqref="R195">
    <cfRule type="cellIs" priority="266" operator="greaterThan" dxfId="2">
      <formula>Q195</formula>
    </cfRule>
    <cfRule type="cellIs" priority="267" operator="lessThanOrEqual" dxfId="1">
      <formula>Q195</formula>
    </cfRule>
  </conditionalFormatting>
  <conditionalFormatting sqref="R204">
    <cfRule type="cellIs" priority="264" operator="greaterThan" dxfId="2">
      <formula>Q204</formula>
    </cfRule>
    <cfRule type="cellIs" priority="265" operator="lessThanOrEqual" dxfId="1">
      <formula>Q204</formula>
    </cfRule>
  </conditionalFormatting>
  <conditionalFormatting sqref="R177">
    <cfRule type="cellIs" priority="262" operator="greaterThan" dxfId="2">
      <formula>Q177</formula>
    </cfRule>
    <cfRule type="cellIs" priority="263" operator="lessThanOrEqual" dxfId="1">
      <formula>Q177</formula>
    </cfRule>
  </conditionalFormatting>
  <conditionalFormatting sqref="W186">
    <cfRule type="cellIs" priority="250" operator="greaterThan" dxfId="2">
      <formula>V186</formula>
    </cfRule>
    <cfRule type="cellIs" priority="251" operator="lessThanOrEqual" dxfId="1">
      <formula>V186</formula>
    </cfRule>
  </conditionalFormatting>
  <conditionalFormatting sqref="AB186">
    <cfRule type="cellIs" priority="248" operator="greaterThan" dxfId="2">
      <formula>AA186</formula>
    </cfRule>
    <cfRule type="cellIs" priority="249" operator="lessThanOrEqual" dxfId="1">
      <formula>AA186</formula>
    </cfRule>
  </conditionalFormatting>
  <conditionalFormatting sqref="W195">
    <cfRule type="cellIs" priority="246" operator="greaterThan" dxfId="2">
      <formula>V195</formula>
    </cfRule>
    <cfRule type="cellIs" priority="247" operator="lessThanOrEqual" dxfId="1">
      <formula>V195</formula>
    </cfRule>
  </conditionalFormatting>
  <conditionalFormatting sqref="AB195">
    <cfRule type="cellIs" priority="244" operator="greaterThan" dxfId="2">
      <formula>AA195</formula>
    </cfRule>
    <cfRule type="cellIs" priority="245" operator="lessThanOrEqual" dxfId="1">
      <formula>AA195</formula>
    </cfRule>
  </conditionalFormatting>
  <conditionalFormatting sqref="W204">
    <cfRule type="cellIs" priority="242" operator="greaterThan" dxfId="2">
      <formula>V204</formula>
    </cfRule>
    <cfRule type="cellIs" priority="243" operator="lessThanOrEqual" dxfId="1">
      <formula>V204</formula>
    </cfRule>
  </conditionalFormatting>
  <conditionalFormatting sqref="AB204">
    <cfRule type="cellIs" priority="240" operator="greaterThan" dxfId="2">
      <formula>AA204</formula>
    </cfRule>
    <cfRule type="cellIs" priority="241" operator="lessThanOrEqual" dxfId="1">
      <formula>AA204</formula>
    </cfRule>
  </conditionalFormatting>
  <conditionalFormatting sqref="H185">
    <cfRule type="cellIs" priority="238" operator="greaterThan" dxfId="2">
      <formula>G185</formula>
    </cfRule>
    <cfRule type="cellIs" priority="239" operator="lessThanOrEqual" dxfId="1">
      <formula>G185</formula>
    </cfRule>
  </conditionalFormatting>
  <conditionalFormatting sqref="H144">
    <cfRule type="cellIs" priority="234" operator="lessThan" dxfId="2">
      <formula>G144</formula>
    </cfRule>
    <cfRule type="cellIs" priority="235" operator="greaterThanOrEqual" dxfId="1">
      <formula>G144</formula>
    </cfRule>
  </conditionalFormatting>
  <conditionalFormatting sqref="M149">
    <cfRule type="cellIs" priority="224" operator="lessThan" dxfId="2">
      <formula>L149</formula>
    </cfRule>
    <cfRule type="cellIs" priority="225" operator="greaterThanOrEqual" dxfId="1">
      <formula>L149</formula>
    </cfRule>
  </conditionalFormatting>
  <conditionalFormatting sqref="W149">
    <cfRule type="cellIs" priority="210" operator="greaterThan" dxfId="2">
      <formula>V149</formula>
    </cfRule>
    <cfRule type="cellIs" priority="211" operator="lessThanOrEqual" dxfId="1">
      <formula>V149</formula>
    </cfRule>
  </conditionalFormatting>
  <conditionalFormatting sqref="AB149">
    <cfRule type="cellIs" priority="208" operator="greaterThan" dxfId="2">
      <formula>AA149</formula>
    </cfRule>
    <cfRule type="cellIs" priority="209" operator="lessThanOrEqual" dxfId="1">
      <formula>AA149</formula>
    </cfRule>
  </conditionalFormatting>
  <conditionalFormatting sqref="C134">
    <cfRule type="cellIs" priority="172" operator="lessThan" dxfId="2">
      <formula>B134</formula>
    </cfRule>
    <cfRule type="cellIs" priority="173" operator="greaterThanOrEqual" dxfId="1">
      <formula>B134</formula>
    </cfRule>
  </conditionalFormatting>
  <conditionalFormatting sqref="M140">
    <cfRule type="cellIs" priority="106" operator="lessThan" dxfId="2">
      <formula>L140</formula>
    </cfRule>
    <cfRule type="cellIs" priority="107" operator="greaterThanOrEqual" dxfId="1">
      <formula>L140</formula>
    </cfRule>
  </conditionalFormatting>
  <conditionalFormatting sqref="W140">
    <cfRule type="cellIs" priority="100" operator="greaterThan" dxfId="2">
      <formula>V140</formula>
    </cfRule>
    <cfRule type="cellIs" priority="101" operator="lessThanOrEqual" dxfId="1">
      <formula>V140</formula>
    </cfRule>
  </conditionalFormatting>
  <conditionalFormatting sqref="R105">
    <cfRule type="cellIs" priority="70" operator="lessThan" dxfId="2">
      <formula>Q105</formula>
    </cfRule>
    <cfRule type="cellIs" priority="71" operator="greaterThanOrEqual" dxfId="1">
      <formula>Q105</formula>
    </cfRule>
  </conditionalFormatting>
  <conditionalFormatting sqref="AB105">
    <cfRule type="cellIs" priority="66" operator="greaterThan" dxfId="2">
      <formula>AA105</formula>
    </cfRule>
    <cfRule type="cellIs" priority="67" operator="lessThanOrEqual" dxfId="1">
      <formula>AA105</formula>
    </cfRule>
  </conditionalFormatting>
  <conditionalFormatting sqref="W113">
    <cfRule type="cellIs" priority="64" operator="greaterThan" dxfId="2">
      <formula>V113</formula>
    </cfRule>
    <cfRule type="cellIs" priority="65" operator="lessThanOrEqual" dxfId="1">
      <formula>V113</formula>
    </cfRule>
  </conditionalFormatting>
  <conditionalFormatting sqref="R121">
    <cfRule type="cellIs" priority="74" operator="lessThan" dxfId="2">
      <formula>Q121</formula>
    </cfRule>
    <cfRule type="cellIs" priority="75" operator="greaterThanOrEqual" dxfId="1">
      <formula>Q121</formula>
    </cfRule>
  </conditionalFormatting>
  <conditionalFormatting sqref="R113">
    <cfRule type="cellIs" priority="72" operator="lessThan" dxfId="2">
      <formula>Q113</formula>
    </cfRule>
    <cfRule type="cellIs" priority="73" operator="greaterThanOrEqual" dxfId="1">
      <formula>Q113</formula>
    </cfRule>
  </conditionalFormatting>
  <conditionalFormatting sqref="W105">
    <cfRule type="cellIs" priority="68" operator="greaterThan" dxfId="2">
      <formula>V105</formula>
    </cfRule>
    <cfRule type="cellIs" priority="69" operator="lessThanOrEqual" dxfId="1">
      <formula>V105</formula>
    </cfRule>
  </conditionalFormatting>
  <conditionalFormatting sqref="AB113">
    <cfRule type="cellIs" priority="62" operator="greaterThan" dxfId="2">
      <formula>AA113</formula>
    </cfRule>
    <cfRule type="cellIs" priority="63" operator="lessThanOrEqual" dxfId="1">
      <formula>AA113</formula>
    </cfRule>
  </conditionalFormatting>
  <conditionalFormatting sqref="W121">
    <cfRule type="cellIs" priority="60" operator="greaterThan" dxfId="2">
      <formula>V121</formula>
    </cfRule>
    <cfRule type="cellIs" priority="61" operator="lessThanOrEqual" dxfId="1">
      <formula>V121</formula>
    </cfRule>
  </conditionalFormatting>
  <conditionalFormatting sqref="AB121">
    <cfRule type="cellIs" priority="58" operator="greaterThan" dxfId="2">
      <formula>AA121</formula>
    </cfRule>
    <cfRule type="cellIs" priority="59" operator="lessThanOrEqual" dxfId="1">
      <formula>AA121</formula>
    </cfRule>
  </conditionalFormatting>
  <conditionalFormatting sqref="R97">
    <cfRule type="cellIs" priority="54" operator="lessThan" dxfId="2">
      <formula>Q97</formula>
    </cfRule>
    <cfRule type="cellIs" priority="55" operator="greaterThanOrEqual" dxfId="1">
      <formula>Q97</formula>
    </cfRule>
  </conditionalFormatting>
  <conditionalFormatting sqref="AB97">
    <cfRule type="cellIs" priority="50" operator="greaterThan" dxfId="2">
      <formula>AA97</formula>
    </cfRule>
    <cfRule type="cellIs" priority="51" operator="lessThanOrEqual" dxfId="1">
      <formula>AA97</formula>
    </cfRule>
  </conditionalFormatting>
  <conditionalFormatting sqref="W97">
    <cfRule type="cellIs" priority="52" operator="greaterThan" dxfId="2">
      <formula>V97</formula>
    </cfRule>
    <cfRule type="cellIs" priority="53" operator="lessThanOrEqual" dxfId="1">
      <formula>V97</formula>
    </cfRule>
  </conditionalFormatting>
  <conditionalFormatting sqref="M158">
    <cfRule type="cellIs" priority="46" operator="lessThan" dxfId="2">
      <formula>L158</formula>
    </cfRule>
    <cfRule type="cellIs" priority="47" operator="greaterThanOrEqual" dxfId="1">
      <formula>L158</formula>
    </cfRule>
  </conditionalFormatting>
  <conditionalFormatting sqref="R149">
    <cfRule type="cellIs" priority="44" operator="greaterThan" dxfId="2">
      <formula>Q149</formula>
    </cfRule>
    <cfRule type="cellIs" priority="45" operator="lessThanOrEqual" dxfId="1">
      <formula>Q149</formula>
    </cfRule>
  </conditionalFormatting>
  <conditionalFormatting sqref="M43">
    <cfRule type="cellIs" priority="40" operator="greaterThan" dxfId="2">
      <formula>L43</formula>
    </cfRule>
    <cfRule type="cellIs" priority="41" operator="lessThanOrEqual" dxfId="1">
      <formula>L43</formula>
    </cfRule>
  </conditionalFormatting>
  <conditionalFormatting sqref="R70">
    <cfRule type="cellIs" priority="38" operator="lessThan" dxfId="2">
      <formula>Q70</formula>
    </cfRule>
    <cfRule type="cellIs" priority="39" operator="greaterThanOrEqual" dxfId="1">
      <formula>Q70</formula>
    </cfRule>
  </conditionalFormatting>
  <conditionalFormatting sqref="R61">
    <cfRule type="cellIs" priority="30" operator="lessThan" dxfId="2">
      <formula>Q61</formula>
    </cfRule>
    <cfRule type="cellIs" priority="31" operator="greaterThanOrEqual" dxfId="1">
      <formula>Q61</formula>
    </cfRule>
  </conditionalFormatting>
  <conditionalFormatting sqref="R79">
    <cfRule type="cellIs" priority="20" operator="lessThan" dxfId="2">
      <formula>Q79</formula>
    </cfRule>
    <cfRule type="cellIs" priority="21" operator="greaterThanOrEqual" dxfId="1">
      <formula>Q79</formula>
    </cfRule>
  </conditionalFormatting>
  <conditionalFormatting sqref="M130">
    <cfRule type="cellIs" priority="11" operator="greaterThan" dxfId="2">
      <formula>L130</formula>
    </cfRule>
    <cfRule type="cellIs" priority="12" operator="lessThanOrEqual" dxfId="1">
      <formula>L130</formula>
    </cfRule>
  </conditionalFormatting>
  <conditionalFormatting sqref="H130">
    <cfRule type="cellIs" priority="9" operator="greaterThan" dxfId="2">
      <formula>G130</formula>
    </cfRule>
    <cfRule type="cellIs" priority="10" operator="lessThanOrEqual" dxfId="1">
      <formula>G130</formula>
    </cfRule>
  </conditionalFormatting>
  <conditionalFormatting sqref="M113">
    <cfRule type="cellIs" priority="7" operator="greaterThan" dxfId="2">
      <formula>L113</formula>
    </cfRule>
    <cfRule type="cellIs" priority="8" operator="lessThanOrEqual" dxfId="1">
      <formula>L113</formula>
    </cfRule>
  </conditionalFormatting>
  <conditionalFormatting sqref="M89">
    <cfRule type="cellIs" priority="5" operator="greaterThan" dxfId="2">
      <formula>L89</formula>
    </cfRule>
    <cfRule type="cellIs" priority="6" operator="lessThanOrEqual" dxfId="1">
      <formula>L89</formula>
    </cfRule>
  </conditionalFormatting>
  <conditionalFormatting sqref="R140">
    <cfRule type="cellIs" priority="1" operator="lessThan" dxfId="2">
      <formula>Q140</formula>
    </cfRule>
    <cfRule type="cellIs" priority="2" operator="greaterThanOrEqual" dxfId="1">
      <formula>Q140</formula>
    </cfRule>
  </conditionalFormatting>
  <pageMargins left="0.7" right="0.7" top="0.75" bottom="0.75" header="0.3" footer="0.3"/>
  <pageSetup orientation="portrait" paperSize="9" scale="16" verticalDpi="300"/>
</worksheet>
</file>

<file path=xl/worksheets/sheet6.xml><?xml version="1.0" encoding="utf-8"?>
<worksheet xmlns="http://schemas.openxmlformats.org/spreadsheetml/2006/main">
  <sheetPr codeName="Лист2">
    <tabColor theme="5" tint="-0.499984740745262"/>
    <outlinePr summaryBelow="1" summaryRight="1"/>
    <pageSetUpPr/>
  </sheetPr>
  <dimension ref="A1:M18"/>
  <sheetViews>
    <sheetView showGridLines="0" workbookViewId="0">
      <selection activeCell="E1" sqref="E1"/>
    </sheetView>
  </sheetViews>
  <sheetFormatPr baseColWidth="10" defaultColWidth="8.83203125" defaultRowHeight="14"/>
  <cols>
    <col width="8.6640625" customWidth="1" style="236" min="1" max="1"/>
    <col width="71" customWidth="1" style="236" min="2" max="2"/>
    <col width="16.5" customWidth="1" style="236" min="3" max="3"/>
    <col width="19.5" customWidth="1" style="459" min="4" max="5"/>
    <col width="8.83203125" customWidth="1" style="236" min="6" max="6"/>
    <col width="35.5" customWidth="1" style="236" min="7" max="7"/>
    <col width="8.83203125" customWidth="1" style="236" min="8" max="16384"/>
  </cols>
  <sheetData>
    <row r="1" ht="16" customHeight="1">
      <c r="A1" s="463" t="n"/>
      <c r="B1" s="348" t="inlineStr">
        <is>
          <t>Ячейка, обязательная к заполнению</t>
        </is>
      </c>
      <c r="E1" s="471">
        <f>'Чек-лист'!K1</f>
        <v/>
      </c>
    </row>
    <row r="2" ht="16" customHeight="1">
      <c r="A2" s="460" t="n"/>
      <c r="B2" s="348" t="inlineStr">
        <is>
          <t>Ячейка расчетная</t>
        </is>
      </c>
    </row>
    <row r="3" ht="16" customHeight="1">
      <c r="A3" s="349" t="n"/>
      <c r="B3" s="348" t="inlineStr">
        <is>
          <t>Ячейка не заполняется</t>
        </is>
      </c>
    </row>
    <row r="4" ht="45" customHeight="1">
      <c r="B4" s="241" t="inlineStr">
        <is>
          <t>Наименование показателя</t>
        </is>
      </c>
      <c r="C4" s="242" t="inlineStr">
        <is>
          <t>Единица измерений</t>
        </is>
      </c>
      <c r="D4" s="242" t="inlineStr">
        <is>
          <t>Значение показателя при первичном сборе данных</t>
        </is>
      </c>
      <c r="E4" s="242" t="inlineStr">
        <is>
          <t>Значение показателя при вторичном сборе данных</t>
        </is>
      </c>
      <c r="G4" s="470" t="inlineStr">
        <is>
          <t>Ответить "да" на вопрос "В рамках проекта была оптимизация персонала на окладе?"</t>
        </is>
      </c>
    </row>
    <row r="5" ht="15" customHeight="1">
      <c r="B5" s="250" t="inlineStr">
        <is>
          <t>Количество работников</t>
        </is>
      </c>
      <c r="C5" s="244" t="inlineStr">
        <is>
          <t>чел</t>
        </is>
      </c>
      <c r="D5" s="463" t="n"/>
      <c r="E5" s="463" t="n"/>
      <c r="G5" s="642" t="inlineStr">
        <is>
          <t>Численность по FTE (реально оплачиваемых штатных единиц работников) с учетом сверхурочных 
= Количество работников 
+ Количество часов переработки по ставке 1.5 / Средний фонд рабочего времени в год на человека х 1.5 
+ Количество часов переработки по ставке 2 / Средний фонд рабочего времени в год на человека х 2</t>
        </is>
      </c>
    </row>
    <row r="6" ht="15" customHeight="1">
      <c r="B6" s="250" t="inlineStr">
        <is>
          <t>Количество урочных рабочих часов в день на работника</t>
        </is>
      </c>
      <c r="C6" s="244" t="inlineStr">
        <is>
          <t>час</t>
        </is>
      </c>
      <c r="D6" s="463" t="n"/>
      <c r="E6" s="463" t="n"/>
    </row>
    <row r="7" ht="15" customHeight="1">
      <c r="B7" s="250" t="inlineStr">
        <is>
          <t>Количество рабочих дней в год на работника</t>
        </is>
      </c>
      <c r="C7" s="244" t="inlineStr">
        <is>
          <t>день</t>
        </is>
      </c>
      <c r="D7" s="463" t="n"/>
      <c r="E7" s="463" t="n"/>
    </row>
    <row r="8" customFormat="1" s="240">
      <c r="B8" s="250" t="n"/>
      <c r="C8" s="244" t="n"/>
      <c r="D8" s="461" t="n"/>
      <c r="E8" s="461" t="n"/>
      <c r="H8" s="236" t="n"/>
      <c r="I8" s="236" t="n"/>
      <c r="J8" s="236" t="n"/>
      <c r="K8" s="236" t="n"/>
      <c r="L8" s="236" t="n"/>
      <c r="M8" s="236" t="n"/>
    </row>
    <row r="9" ht="15" customFormat="1" customHeight="1" s="240">
      <c r="B9" s="250" t="inlineStr">
        <is>
          <t>Средний фонд рабочего времени в год на человека</t>
        </is>
      </c>
      <c r="C9" s="244" t="inlineStr">
        <is>
          <t>час</t>
        </is>
      </c>
      <c r="D9" s="460">
        <f>+D6*D7</f>
        <v/>
      </c>
      <c r="E9" s="460">
        <f>+E6*E7</f>
        <v/>
      </c>
      <c r="H9" s="236" t="n"/>
      <c r="I9" s="236" t="n"/>
      <c r="J9" s="236" t="n"/>
      <c r="K9" s="236" t="n"/>
      <c r="L9" s="236" t="n"/>
      <c r="M9" s="236" t="n"/>
    </row>
    <row r="10">
      <c r="B10" s="250" t="n"/>
      <c r="C10" s="244" t="n"/>
      <c r="D10" s="462" t="n"/>
      <c r="E10" s="462" t="n"/>
    </row>
    <row r="11" ht="15" customHeight="1">
      <c r="B11" s="250" t="inlineStr">
        <is>
          <t>Количество сверхурочных часов в год по ставке 1.5</t>
        </is>
      </c>
      <c r="C11" s="244" t="inlineStr">
        <is>
          <t>час</t>
        </is>
      </c>
      <c r="D11" s="463" t="n"/>
      <c r="E11" s="463" t="n"/>
    </row>
    <row r="12" ht="15" customHeight="1">
      <c r="B12" s="250" t="inlineStr">
        <is>
          <t>FTE 1.5</t>
        </is>
      </c>
      <c r="C12" s="244" t="inlineStr">
        <is>
          <t>чел</t>
        </is>
      </c>
      <c r="D12" s="460">
        <f>IFERROR(D11/D9*1.5*D5,0)</f>
        <v/>
      </c>
      <c r="E12" s="460">
        <f>IFERROR(E11/E9*1.5*E5,0)</f>
        <v/>
      </c>
    </row>
    <row r="13">
      <c r="B13" s="250" t="n"/>
      <c r="C13" s="244" t="n"/>
      <c r="D13" s="462" t="n"/>
      <c r="E13" s="462" t="n"/>
    </row>
    <row r="14" ht="15" customHeight="1">
      <c r="B14" s="250" t="inlineStr">
        <is>
          <t>Количество сверхурочных часов в год по ставке 2</t>
        </is>
      </c>
      <c r="C14" s="244" t="inlineStr">
        <is>
          <t>час</t>
        </is>
      </c>
      <c r="D14" s="463" t="n"/>
      <c r="E14" s="463" t="n"/>
    </row>
    <row r="15" ht="15" customHeight="1">
      <c r="B15" s="250" t="inlineStr">
        <is>
          <t>FTE 2</t>
        </is>
      </c>
      <c r="C15" s="244" t="inlineStr">
        <is>
          <t>чел</t>
        </is>
      </c>
      <c r="D15" s="460">
        <f>IFERROR(D14/D9*2*D5,0)</f>
        <v/>
      </c>
      <c r="E15" s="460">
        <f>IFERROR(E14/E9*2*E5,0)</f>
        <v/>
      </c>
    </row>
    <row r="16" customFormat="1" s="464">
      <c r="A16" s="464" t="inlineStr">
        <is>
          <t>Для заполнения строк 144-145 Чек-листа</t>
        </is>
      </c>
      <c r="D16" s="466" t="n"/>
      <c r="E16" s="466" t="n"/>
      <c r="H16" s="236" t="n"/>
      <c r="I16" s="236" t="n"/>
      <c r="J16" s="236" t="n"/>
      <c r="K16" s="236" t="n"/>
      <c r="L16" s="236" t="n"/>
      <c r="M16" s="236" t="n"/>
    </row>
    <row r="17" customFormat="1" s="464">
      <c r="B17" s="465" t="inlineStr">
        <is>
          <t>Численность по FTE с учетом сверхурочных</t>
        </is>
      </c>
      <c r="C17" s="469" t="inlineStr">
        <is>
          <t>чел</t>
        </is>
      </c>
      <c r="D17" s="508">
        <f>D5+D12+D15</f>
        <v/>
      </c>
      <c r="E17" s="508">
        <f>E5+E12+E15</f>
        <v/>
      </c>
      <c r="H17" s="236" t="n"/>
      <c r="I17" s="236" t="n"/>
      <c r="J17" s="236" t="n"/>
      <c r="K17" s="236" t="n"/>
      <c r="L17" s="236" t="n"/>
      <c r="M17" s="236" t="n"/>
    </row>
    <row r="18">
      <c r="A18" s="464" t="n"/>
      <c r="B18" s="465" t="inlineStr">
        <is>
          <t>Среднемесячная заработная плата работника на окладе в проекте</t>
        </is>
      </c>
      <c r="C18" s="469" t="inlineStr">
        <is>
          <t>рубли</t>
        </is>
      </c>
      <c r="D18" s="467" t="n"/>
      <c r="E18" s="468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kNN/Eccdxa71Ramhv1okw==" formatRows="1" sort="1" spinCount="100000" hashValue="Qoe63c2frRCwRbmV6nyspo2goxZ5bgvdE6WgUY44DbK1QTmCLXnsrCr00szrsaJNtEt1+AWlSfZAMmaQ8wEFWQ=="/>
  <mergeCells count="1">
    <mergeCell ref="G5:G18"/>
  </mergeCells>
  <pageMargins left="0.7" right="0.7" top="0.75" bottom="0.75" header="0.3" footer="0.3"/>
  <pageSetup orientation="portrait" paperSize="9" horizontalDpi="4294967293" verticalDpi="4294967293"/>
</worksheet>
</file>

<file path=xl/worksheets/sheet7.xml><?xml version="1.0" encoding="utf-8"?>
<worksheet xmlns="http://schemas.openxmlformats.org/spreadsheetml/2006/main">
  <sheetPr codeName="Лист10">
    <outlinePr summaryBelow="1" summaryRight="1"/>
    <pageSetUpPr/>
  </sheetPr>
  <dimension ref="A1:G9"/>
  <sheetViews>
    <sheetView showGridLines="0" workbookViewId="0">
      <selection activeCell="E18" sqref="E18"/>
    </sheetView>
  </sheetViews>
  <sheetFormatPr baseColWidth="10" defaultColWidth="8.83203125" defaultRowHeight="15"/>
  <cols>
    <col width="8.83203125" customWidth="1" style="491" min="1" max="1"/>
    <col width="39.33203125" customWidth="1" style="491" min="2" max="2"/>
    <col width="39.33203125" bestFit="1" customWidth="1" style="491" min="3" max="3"/>
    <col width="47.1640625" customWidth="1" style="491" min="4" max="4"/>
    <col width="8.83203125" customWidth="1" style="491" min="5" max="16384"/>
  </cols>
  <sheetData>
    <row r="1" ht="19" customHeight="1">
      <c r="B1" s="643" t="inlineStr">
        <is>
          <t>Рекомендации по использованию моделей расчета экономического эффекта</t>
        </is>
      </c>
      <c r="E1" s="490" t="n"/>
      <c r="F1" s="490" t="n"/>
      <c r="G1" s="490" t="n"/>
    </row>
    <row r="2"/>
    <row r="3" ht="34" customHeight="1">
      <c r="A3" s="492" t="inlineStr">
        <is>
          <t>№п/п</t>
        </is>
      </c>
      <c r="B3" s="492" t="inlineStr">
        <is>
          <t>Направление</t>
        </is>
      </c>
      <c r="C3" s="492" t="inlineStr">
        <is>
          <t>Рекомендуемая модель</t>
        </is>
      </c>
      <c r="D3" s="492" t="inlineStr">
        <is>
          <t>Альтернативный вариант 
(для отдельных потоков)</t>
        </is>
      </c>
    </row>
    <row r="4" ht="16" customHeight="1">
      <c r="A4" s="495" t="n">
        <v>1</v>
      </c>
      <c r="B4" s="493" t="inlineStr">
        <is>
          <t>Производство</t>
        </is>
      </c>
      <c r="C4" s="493" t="inlineStr">
        <is>
          <t>Модель ЭЭ Производственные процессы</t>
        </is>
      </c>
      <c r="D4" s="493" t="inlineStr">
        <is>
          <t>Модель ЭЭ Обеспечивающие процессы</t>
        </is>
      </c>
    </row>
    <row r="5" ht="16" customHeight="1">
      <c r="A5" s="495" t="n">
        <v>2</v>
      </c>
      <c r="B5" s="493" t="inlineStr">
        <is>
          <t>Торговля</t>
        </is>
      </c>
      <c r="C5" s="493" t="inlineStr">
        <is>
          <t>Модель ЭЭ Обеспечивающие процессы</t>
        </is>
      </c>
      <c r="D5" s="493" t="inlineStr">
        <is>
          <t>Модель ЭЭ Производственные процессы</t>
        </is>
      </c>
    </row>
    <row r="6" ht="17" customHeight="1">
      <c r="A6" s="496" t="n">
        <v>3</v>
      </c>
      <c r="B6" s="494" t="inlineStr">
        <is>
          <t>Пассажирские перевозки (в т.ч. аэропорты)</t>
        </is>
      </c>
      <c r="C6" s="493" t="inlineStr">
        <is>
          <t>Модель ЭЭ Обеспечивающие процессы</t>
        </is>
      </c>
      <c r="D6" s="493" t="inlineStr">
        <is>
          <t>Модель ЭЭ Производственные процессы</t>
        </is>
      </c>
    </row>
    <row r="7" ht="16" customHeight="1">
      <c r="A7" s="495" t="n">
        <v>4</v>
      </c>
      <c r="B7" s="493" t="inlineStr">
        <is>
          <t>Офисные процессы</t>
        </is>
      </c>
      <c r="C7" s="493" t="inlineStr">
        <is>
          <t>Модель ЭЭ Обеспечивающие процессы</t>
        </is>
      </c>
      <c r="D7" s="493" t="inlineStr">
        <is>
          <t>-</t>
        </is>
      </c>
    </row>
    <row r="8" ht="16" customHeight="1">
      <c r="A8" s="495" t="n">
        <v>5</v>
      </c>
      <c r="B8" s="493" t="inlineStr">
        <is>
          <t>Логистика и запасы</t>
        </is>
      </c>
      <c r="C8" s="493" t="inlineStr">
        <is>
          <t>Модель ЭЭ Производственные процессы</t>
        </is>
      </c>
      <c r="D8" s="493" t="inlineStr">
        <is>
          <t>Модель ЭЭ Обеспечивающие процессы</t>
        </is>
      </c>
    </row>
    <row r="9" ht="34" customHeight="1">
      <c r="A9" s="496" t="n">
        <v>6</v>
      </c>
      <c r="B9" s="494" t="inlineStr">
        <is>
          <t>Коммерческие проекты (для расчёта прогнозного эффекта на старте проекта)</t>
        </is>
      </c>
      <c r="C9" s="493" t="inlineStr">
        <is>
          <t>Модель ЭЭ КП</t>
        </is>
      </c>
      <c r="D9" s="493" t="inlineStr">
        <is>
          <t>-</t>
        </is>
      </c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yyth/tWw6c/Dz1CghPy4CQ==" formatRows="1" sort="1" spinCount="100000" hashValue="oll8OlDPcOl6fk71O7yf0l/mv2iYzV3ETf2a0Q8LyGXPu4IzQSoZogMnjKFQGq//W8Q1b0pq/hFi+nyiD4cofQ=="/>
  <mergeCells count="1">
    <mergeCell ref="B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Лист6">
    <tabColor rgb="FF00B050"/>
    <outlinePr summaryBelow="1" summaryRight="1"/>
    <pageSetUpPr/>
  </sheetPr>
  <dimension ref="A1:B8"/>
  <sheetViews>
    <sheetView workbookViewId="0">
      <selection activeCell="F23" sqref="F23"/>
    </sheetView>
  </sheetViews>
  <sheetFormatPr baseColWidth="10" defaultColWidth="8.83203125" defaultRowHeight="15"/>
  <cols>
    <col width="10.1640625" bestFit="1" customWidth="1" style="100" min="1" max="1"/>
  </cols>
  <sheetData>
    <row r="1">
      <c r="A1" s="392" t="n">
        <v>44413</v>
      </c>
      <c r="B1" t="inlineStr">
        <is>
          <t>Убрана возможность отражения отрицательного потенциального ЭЭ по объему</t>
        </is>
      </c>
    </row>
    <row r="2">
      <c r="A2" s="392" t="n">
        <v>44469</v>
      </c>
      <c r="B2" t="inlineStr">
        <is>
          <t>Убран многопродуктовый поток</t>
        </is>
      </c>
    </row>
    <row r="3">
      <c r="A3" s="392" t="n">
        <v>44474</v>
      </c>
      <c r="B3" t="inlineStr">
        <is>
          <t>Обновлена инструкция</t>
        </is>
      </c>
    </row>
    <row r="4">
      <c r="A4" s="392" t="n">
        <v>44502</v>
      </c>
      <c r="B4" t="inlineStr">
        <is>
          <t>Брак только неисправимый</t>
        </is>
      </c>
    </row>
    <row r="5">
      <c r="B5" t="inlineStr">
        <is>
          <t>ОЕЕ или коэф-т выхода годной</t>
        </is>
      </c>
    </row>
    <row r="6">
      <c r="B6" t="inlineStr">
        <is>
          <t>Убрана возможность расчета доступного времени через смены и дни</t>
        </is>
      </c>
    </row>
    <row r="7">
      <c r="B7" t="inlineStr">
        <is>
          <t>Расчет изменения трудоемкости через часы</t>
        </is>
      </c>
    </row>
    <row r="8">
      <c r="B8" t="inlineStr">
        <is>
          <t>Добавлена возможность менять цену ГП после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Лист7">
    <outlinePr summaryBelow="1" summaryRight="1"/>
    <pageSetUpPr/>
  </sheetPr>
  <dimension ref="B1:F21"/>
  <sheetViews>
    <sheetView workbookViewId="0">
      <selection activeCell="J22" sqref="J22"/>
    </sheetView>
  </sheetViews>
  <sheetFormatPr baseColWidth="10" defaultColWidth="8.83203125" defaultRowHeight="15"/>
  <cols>
    <col width="10.6640625" customWidth="1" min="2" max="2"/>
    <col width="18.1640625" customWidth="1" min="3" max="3"/>
    <col width="11.5" customWidth="1" min="4" max="4"/>
  </cols>
  <sheetData>
    <row r="1">
      <c r="C1" t="inlineStr">
        <is>
          <t>Объем реализации</t>
        </is>
      </c>
      <c r="D1" t="inlineStr">
        <is>
          <t>Вес в потоке</t>
        </is>
      </c>
    </row>
    <row r="2">
      <c r="B2" t="inlineStr">
        <is>
          <t>Продукт 1</t>
        </is>
      </c>
      <c r="C2" t="n">
        <v>120</v>
      </c>
      <c r="D2" s="177">
        <f>C2/$C$7</f>
        <v/>
      </c>
    </row>
    <row r="3">
      <c r="B3" t="inlineStr">
        <is>
          <t>Продукт 2</t>
        </is>
      </c>
      <c r="C3" t="n">
        <v>20</v>
      </c>
      <c r="D3" s="177">
        <f>C3/$C$7</f>
        <v/>
      </c>
    </row>
    <row r="4">
      <c r="B4" t="inlineStr">
        <is>
          <t>Продукт 3</t>
        </is>
      </c>
      <c r="C4" t="n">
        <v>90</v>
      </c>
      <c r="D4" s="177">
        <f>C4/$C$7</f>
        <v/>
      </c>
    </row>
    <row r="5">
      <c r="B5" t="inlineStr">
        <is>
          <t>Продукт 4</t>
        </is>
      </c>
      <c r="C5" t="n">
        <v>0</v>
      </c>
      <c r="D5" s="177">
        <f>C5/$C$7</f>
        <v/>
      </c>
    </row>
    <row r="6">
      <c r="B6" t="inlineStr">
        <is>
          <t>Прочие</t>
        </is>
      </c>
      <c r="C6" t="n">
        <v>40</v>
      </c>
      <c r="D6" s="177">
        <f>C6/$C$7</f>
        <v/>
      </c>
    </row>
    <row r="7">
      <c r="B7" t="inlineStr">
        <is>
          <t>Итого</t>
        </is>
      </c>
      <c r="C7">
        <f>SUM(C2:C6)</f>
        <v/>
      </c>
      <c r="D7" s="177">
        <f>SUM(D2:D6)</f>
        <v/>
      </c>
    </row>
    <row r="10">
      <c r="C10" t="inlineStr">
        <is>
          <t>Объем реализации</t>
        </is>
      </c>
      <c r="D10" t="inlineStr">
        <is>
          <t>Объем спроса</t>
        </is>
      </c>
      <c r="E10" t="inlineStr">
        <is>
          <t>Тцикл</t>
        </is>
      </c>
      <c r="F10" t="inlineStr">
        <is>
          <t>Тнеобх.такт</t>
        </is>
      </c>
    </row>
    <row r="11">
      <c r="B11" t="inlineStr">
        <is>
          <t>Продукт 1</t>
        </is>
      </c>
      <c r="C11" t="n">
        <v>120</v>
      </c>
      <c r="D11" t="n">
        <v>130</v>
      </c>
      <c r="E11" t="n">
        <v>2</v>
      </c>
      <c r="F11">
        <f>D11/C11*E11</f>
        <v/>
      </c>
    </row>
    <row r="12">
      <c r="B12" t="inlineStr">
        <is>
          <t>Продукт 2</t>
        </is>
      </c>
      <c r="C12" t="n">
        <v>20</v>
      </c>
      <c r="D12" t="n">
        <v>20</v>
      </c>
      <c r="E12" t="n">
        <v>3</v>
      </c>
      <c r="F12">
        <f>D12/C12*E12</f>
        <v/>
      </c>
    </row>
    <row r="13">
      <c r="B13" t="inlineStr">
        <is>
          <t>Продукт 3</t>
        </is>
      </c>
      <c r="C13" t="n">
        <v>90</v>
      </c>
      <c r="D13" t="n">
        <v>98</v>
      </c>
      <c r="E13" t="n">
        <v>2</v>
      </c>
      <c r="F13">
        <f>D13/C13*E13</f>
        <v/>
      </c>
    </row>
    <row r="14">
      <c r="B14" t="inlineStr">
        <is>
          <t>Продукт 4</t>
        </is>
      </c>
      <c r="C14" t="n">
        <v>0</v>
      </c>
      <c r="D14" t="n">
        <v>0</v>
      </c>
    </row>
    <row r="15">
      <c r="B15" t="inlineStr">
        <is>
          <t>Прочие</t>
        </is>
      </c>
      <c r="C15" t="n">
        <v>40</v>
      </c>
      <c r="D15" t="n">
        <v>50</v>
      </c>
      <c r="E15" t="n">
        <v>2.5</v>
      </c>
      <c r="F15">
        <f>D15/C15*E15</f>
        <v/>
      </c>
    </row>
    <row r="16">
      <c r="B16" t="inlineStr">
        <is>
          <t>Итого</t>
        </is>
      </c>
      <c r="C16">
        <f>SUM(C11:C15)</f>
        <v/>
      </c>
    </row>
    <row r="19">
      <c r="B19" s="100" t="inlineStr">
        <is>
          <t>списки</t>
        </is>
      </c>
    </row>
    <row r="20">
      <c r="B20" t="inlineStr">
        <is>
          <t>да</t>
        </is>
      </c>
      <c r="C20" t="inlineStr">
        <is>
          <t>уникальные</t>
        </is>
      </c>
      <c r="D20" t="inlineStr">
        <is>
          <t>позаказное</t>
        </is>
      </c>
    </row>
    <row r="21">
      <c r="B21" t="inlineStr">
        <is>
          <t>нет</t>
        </is>
      </c>
      <c r="C21" t="inlineStr">
        <is>
          <t>стандартные</t>
        </is>
      </c>
      <c r="D21" t="inlineStr">
        <is>
          <t>ширпотреб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Лист8">
    <outlinePr summaryBelow="1" summaryRight="1"/>
    <pageSetUpPr fitToPage="1"/>
  </sheetPr>
  <dimension ref="A1:P54"/>
  <sheetViews>
    <sheetView view="pageBreakPreview" topLeftCell="A23" zoomScaleNormal="85" zoomScaleSheetLayoutView="100" workbookViewId="0">
      <selection activeCell="A29" sqref="A29:P29"/>
    </sheetView>
  </sheetViews>
  <sheetFormatPr baseColWidth="10" defaultColWidth="8.6640625" defaultRowHeight="14"/>
  <cols>
    <col width="8.6640625" customWidth="1" style="166" min="1" max="7"/>
    <col width="11.33203125" customWidth="1" style="166" min="8" max="8"/>
    <col width="8.6640625" customWidth="1" style="166" min="9" max="16384"/>
  </cols>
  <sheetData>
    <row r="1" ht="25.25" customHeight="1">
      <c r="A1" s="167" t="n"/>
      <c r="B1" s="657" t="inlineStr">
        <is>
          <t>Пример расчета экономического эффекта</t>
        </is>
      </c>
      <c r="C1" s="840" t="n"/>
      <c r="D1" s="840" t="n"/>
      <c r="E1" s="840" t="n"/>
      <c r="F1" s="840" t="n"/>
      <c r="G1" s="840" t="n"/>
      <c r="H1" s="840" t="n"/>
      <c r="I1" s="840" t="n"/>
      <c r="J1" s="840" t="n"/>
      <c r="K1" s="840" t="n"/>
      <c r="L1" s="840" t="n"/>
      <c r="M1" s="840" t="n"/>
      <c r="N1" s="841" t="n"/>
      <c r="O1" s="167" t="n"/>
      <c r="P1" s="167" t="n"/>
    </row>
    <row r="2" ht="30" customHeight="1">
      <c r="A2" s="658" t="inlineStr">
        <is>
          <t>Исходя из заполненного чек-листа рассчитывается каждый отдельный экономический эффект:</t>
        </is>
      </c>
      <c r="B2" s="840" t="n"/>
      <c r="C2" s="840" t="n"/>
      <c r="D2" s="840" t="n"/>
      <c r="E2" s="840" t="n"/>
      <c r="F2" s="840" t="n"/>
      <c r="G2" s="840" t="n"/>
      <c r="H2" s="840" t="n"/>
      <c r="I2" s="840" t="n"/>
      <c r="J2" s="840" t="n"/>
      <c r="K2" s="840" t="n"/>
      <c r="L2" s="840" t="n"/>
      <c r="M2" s="840" t="n"/>
      <c r="N2" s="841" t="n"/>
      <c r="O2" s="167" t="n"/>
      <c r="P2" s="167" t="n"/>
    </row>
    <row r="3" ht="16" customHeight="1">
      <c r="A3" s="167" t="n"/>
      <c r="B3" s="168" t="n"/>
      <c r="C3" s="167" t="n"/>
      <c r="D3" s="167" t="n"/>
      <c r="E3" s="167" t="n"/>
      <c r="F3" s="167" t="n"/>
      <c r="G3" s="167" t="n"/>
      <c r="H3" s="167" t="n"/>
      <c r="I3" s="167" t="n"/>
      <c r="J3" s="167" t="n"/>
      <c r="K3" s="167" t="n"/>
      <c r="L3" s="167" t="n"/>
      <c r="M3" s="167" t="n"/>
      <c r="N3" s="167" t="n"/>
      <c r="O3" s="167" t="n"/>
      <c r="P3" s="167" t="n"/>
    </row>
    <row r="4" ht="60.5" customHeight="1">
      <c r="A4" s="659" t="inlineStr">
        <is>
          <t xml:space="preserve">    1. 	Доход от роста объема производства.
Методический подход к оценке данного показателя рассматривает реальный и потенциальный эффект от роста объема производства. Реальный определяется исходя из фактически произведенной продукции, потенциальный отвечает на вопрос сколько можно дополнительно заработать при условии, что спрос удовлетворит все производственные возможности. </t>
        </is>
      </c>
      <c r="B4" s="840" t="n"/>
      <c r="C4" s="840" t="n"/>
      <c r="D4" s="840" t="n"/>
      <c r="E4" s="840" t="n"/>
      <c r="F4" s="840" t="n"/>
      <c r="G4" s="840" t="n"/>
      <c r="H4" s="840" t="n"/>
      <c r="I4" s="840" t="n"/>
      <c r="J4" s="840" t="n"/>
      <c r="K4" s="840" t="n"/>
      <c r="L4" s="840" t="n"/>
      <c r="M4" s="840" t="n"/>
      <c r="N4" s="840" t="n"/>
      <c r="O4" s="840" t="n"/>
      <c r="P4" s="841" t="n"/>
    </row>
    <row r="5" ht="37.5" customHeight="1">
      <c r="A5" s="648" t="inlineStr">
        <is>
          <t>Реальный экономический эффект</t>
        </is>
      </c>
      <c r="B5" s="840" t="n"/>
      <c r="C5" s="840" t="n"/>
      <c r="D5" s="840" t="n"/>
      <c r="E5" s="840" t="n"/>
      <c r="F5" s="840" t="n"/>
      <c r="G5" s="840" t="n"/>
      <c r="H5" s="841" t="n"/>
      <c r="I5" s="648" t="inlineStr">
        <is>
          <t xml:space="preserve">Потенциальный экономический эффект </t>
        </is>
      </c>
      <c r="J5" s="840" t="n"/>
      <c r="K5" s="840" t="n"/>
      <c r="L5" s="840" t="n"/>
      <c r="M5" s="840" t="n"/>
      <c r="N5" s="840" t="n"/>
      <c r="O5" s="840" t="n"/>
      <c r="P5" s="841" t="n"/>
    </row>
    <row r="6" ht="68.75" customHeight="1">
      <c r="A6" s="649" t="inlineStr">
        <is>
          <t xml:space="preserve">1.1 	Доступное время для производства товара/услуги (пункт 5.6.1.1.1.1.1 Методики). В нашем случае предприятие не пересматривало рабочий график, поэтому данный показатель на начало и на конец рассматриваемого периода принимает одинаковое значение:
</t>
        </is>
      </c>
      <c r="B6" s="840" t="n"/>
      <c r="C6" s="840" t="n"/>
      <c r="D6" s="840" t="n"/>
      <c r="E6" s="840" t="n"/>
      <c r="F6" s="840" t="n"/>
      <c r="G6" s="840" t="n"/>
      <c r="H6" s="841" t="n"/>
      <c r="I6" s="655" t="inlineStr">
        <is>
          <t>1.5 Потенциальный объем выпускаемой продукции (пункт 6.5.4) рассчитывается по формуле:</t>
        </is>
      </c>
      <c r="J6" s="840" t="n"/>
      <c r="K6" s="840" t="n"/>
      <c r="L6" s="840" t="n"/>
      <c r="M6" s="840" t="n"/>
      <c r="N6" s="840" t="n"/>
      <c r="O6" s="840" t="n"/>
      <c r="P6" s="841" t="n"/>
    </row>
    <row r="7" ht="52.5" customHeight="1">
      <c r="A7" s="646" t="inlineStr">
        <is>
          <t>Т1,2=3 смены * 8 часов * 247 дней * 60 минут = 355 680 минут</t>
        </is>
      </c>
      <c r="B7" s="840" t="n"/>
      <c r="C7" s="840" t="n"/>
      <c r="D7" s="840" t="n"/>
      <c r="E7" s="840" t="n"/>
      <c r="F7" s="840" t="n"/>
      <c r="G7" s="840" t="n"/>
      <c r="H7" s="841" t="n"/>
      <c r="I7" s="646" t="inlineStr">
        <is>
          <t>ОВП2= 355 680 минут/ 60 минут= 5 928 единиц готовой продукции</t>
        </is>
      </c>
      <c r="J7" s="840" t="n"/>
      <c r="K7" s="840" t="n"/>
      <c r="L7" s="840" t="n"/>
      <c r="M7" s="840" t="n"/>
      <c r="N7" s="840" t="n"/>
      <c r="O7" s="840" t="n"/>
      <c r="P7" s="841" t="n"/>
    </row>
    <row r="8" ht="94.25" customHeight="1">
      <c r="A8" s="649" t="inlineStr">
        <is>
          <t>1.2   	Объем реализации продукции (пункт 6.5 Методики). До проекта объем реализации ограничен возможностями производства. За время проекта наблюдается существенное изменение времени цикла узкого места с 85 до 60 минут, однако Спрос на продукцию меньше новых возможностей производства, поэтому объем реализации после проекта будет соответствовать спросу, Тнеобх.такт которого равен 65 минут:</t>
        </is>
      </c>
      <c r="B8" s="840" t="n"/>
      <c r="C8" s="840" t="n"/>
      <c r="D8" s="840" t="n"/>
      <c r="E8" s="840" t="n"/>
      <c r="F8" s="840" t="n"/>
      <c r="G8" s="840" t="n"/>
      <c r="H8" s="841" t="n"/>
      <c r="I8" s="656" t="inlineStr">
        <is>
          <t>1.6 Потенциальный экономический эффект от увеличения объема производства товаров или услуг (пункт 5.7.4) строится на разнице между объемом реализации и возможным объемом производства. Т.к. возможности производства после проекта превышают спрос, потенциальный экономический эффект:</t>
        </is>
      </c>
      <c r="J8" s="840" t="n"/>
      <c r="K8" s="840" t="n"/>
      <c r="L8" s="840" t="n"/>
      <c r="M8" s="840" t="n"/>
      <c r="N8" s="840" t="n"/>
      <c r="O8" s="840" t="n"/>
      <c r="P8" s="841" t="n"/>
    </row>
    <row r="9" ht="20" customHeight="1">
      <c r="A9" s="654" t="inlineStr">
        <is>
          <t>ОРП1=ОВП1 = 355 680 минут / 85 минут = 4 184,5 единиц готовой продукции</t>
        </is>
      </c>
      <c r="B9" s="840" t="n"/>
      <c r="C9" s="840" t="n"/>
      <c r="D9" s="840" t="n"/>
      <c r="E9" s="840" t="n"/>
      <c r="F9" s="840" t="n"/>
      <c r="G9" s="840" t="n"/>
      <c r="H9" s="841" t="n"/>
      <c r="I9" s="646" t="inlineStr">
        <is>
          <t>ЭЭоп(п)= (5 928 – 5 472) * 3 713 рублей = 1 693 128  рублей</t>
        </is>
      </c>
      <c r="J9" s="661" t="n"/>
      <c r="K9" s="661" t="n"/>
      <c r="L9" s="661" t="n"/>
      <c r="M9" s="661" t="n"/>
      <c r="N9" s="661" t="n"/>
      <c r="O9" s="661" t="n"/>
      <c r="P9" s="662" t="n"/>
    </row>
    <row r="10" ht="17" customHeight="1">
      <c r="A10" s="654" t="inlineStr">
        <is>
          <t>ОРП2= ОС2 = 355 680 минут /65 минут = 5 472 единиц готовой продукции</t>
        </is>
      </c>
      <c r="B10" s="840" t="n"/>
      <c r="C10" s="840" t="n"/>
      <c r="D10" s="840" t="n"/>
      <c r="E10" s="840" t="n"/>
      <c r="F10" s="840" t="n"/>
      <c r="G10" s="840" t="n"/>
      <c r="H10" s="841" t="n"/>
      <c r="I10" s="842" t="n"/>
      <c r="J10" s="843" t="n"/>
      <c r="K10" s="843" t="n"/>
      <c r="L10" s="843" t="n"/>
      <c r="M10" s="843" t="n"/>
      <c r="N10" s="843" t="n"/>
      <c r="O10" s="843" t="n"/>
      <c r="P10" s="844" t="n"/>
    </row>
    <row r="11" ht="111" customHeight="1">
      <c r="A11" s="647" t="inlineStr">
        <is>
          <t xml:space="preserve">1.3	  Маржинальная прибыль на 1 единицу продукции (пункт 6.5.3 Методики). Цена готовой продукции составляет 7000 рублей. В нашем случае показатель определяется исходя из стоимости и нормы потребления сырья и материалов, трудоемкости, средней ставки оплаты нормо-часа и социальных отчислений в фонды РФ  до начала проекта, а также удельных затрат электроэнергии на 1 единицу готовой продукции. </t>
        </is>
      </c>
      <c r="B11" s="840" t="n"/>
      <c r="C11" s="840" t="n"/>
      <c r="D11" s="840" t="n"/>
      <c r="E11" s="840" t="n"/>
      <c r="F11" s="840" t="n"/>
      <c r="G11" s="840" t="n"/>
      <c r="H11" s="841" t="n"/>
      <c r="I11" s="167" t="n"/>
      <c r="J11" s="167" t="n"/>
      <c r="K11" s="167" t="n"/>
      <c r="L11" s="167" t="n"/>
      <c r="M11" s="167" t="n"/>
      <c r="N11" s="167" t="n"/>
      <c r="O11" s="167" t="n"/>
      <c r="P11" s="167" t="n"/>
    </row>
    <row r="12" ht="24.5" customHeight="1">
      <c r="A12" s="646" t="inlineStr">
        <is>
          <t>М = 7 000 – (5 * 500 + 300 * 2 часа * 1,3 + 1,34 * 5,3) = 3 713 рублей</t>
        </is>
      </c>
      <c r="B12" s="840" t="n"/>
      <c r="C12" s="840" t="n"/>
      <c r="D12" s="840" t="n"/>
      <c r="E12" s="840" t="n"/>
      <c r="F12" s="840" t="n"/>
      <c r="G12" s="840" t="n"/>
      <c r="H12" s="841" t="n"/>
      <c r="I12" s="167" t="n"/>
      <c r="J12" s="167" t="n"/>
      <c r="K12" s="167" t="n"/>
      <c r="L12" s="167" t="n"/>
      <c r="M12" s="167" t="n"/>
      <c r="N12" s="167" t="n"/>
      <c r="O12" s="167" t="n"/>
      <c r="P12" s="167" t="n"/>
    </row>
    <row r="13" ht="81" customHeight="1">
      <c r="A13" s="645" t="inlineStr">
        <is>
          <t>1.4   Уровень экономических эффектов от реального увеличения объема производства товаров или услуг (пункт 6.5 Методики) определяется маржинальной прибылью на единицу продукции и разностью объемов производства до начала проекта (ОВП1) и по его окончании (ОВП2). Экономический эффект принимает следующее значение:</t>
        </is>
      </c>
      <c r="B13" s="840" t="n"/>
      <c r="C13" s="840" t="n"/>
      <c r="D13" s="840" t="n"/>
      <c r="E13" s="840" t="n"/>
      <c r="F13" s="840" t="n"/>
      <c r="G13" s="840" t="n"/>
      <c r="H13" s="841" t="n"/>
      <c r="I13" s="167" t="n"/>
      <c r="J13" s="167" t="n"/>
      <c r="K13" s="167" t="n"/>
      <c r="L13" s="167" t="n"/>
      <c r="M13" s="167" t="n"/>
      <c r="N13" s="167" t="n"/>
      <c r="O13" s="167" t="n"/>
      <c r="P13" s="167" t="n"/>
    </row>
    <row r="14" ht="39.5" customHeight="1">
      <c r="A14" s="652" t="inlineStr">
        <is>
          <t>ЭЭор= (5 472 – 4 184,5) * 3 713 рублей= 4 780 488 рублей</t>
        </is>
      </c>
      <c r="B14" s="840" t="n"/>
      <c r="C14" s="840" t="n"/>
      <c r="D14" s="840" t="n"/>
      <c r="E14" s="840" t="n"/>
      <c r="F14" s="840" t="n"/>
      <c r="G14" s="840" t="n"/>
      <c r="H14" s="841" t="n"/>
      <c r="I14" s="167" t="n"/>
      <c r="J14" s="167" t="n"/>
      <c r="K14" s="167" t="n"/>
      <c r="L14" s="167" t="n"/>
      <c r="M14" s="167" t="n"/>
      <c r="N14" s="167" t="n"/>
      <c r="O14" s="167" t="n"/>
      <c r="P14" s="167" t="n"/>
    </row>
    <row r="15" ht="106.25" customHeight="1">
      <c r="A15" s="653" t="inlineStr">
        <is>
          <t xml:space="preserve">2.	      Экономия затрат 
2.1	 Экономия от снижения переменных затрат (пункт 6.6 Методики) дает нам представление об оптимизации удельных расходов. К данному виду затрат относятся все сырье и материалы, а также сдельные затраты на фонд оплаты труда. Если предприятие может выделить затраты энергоресурсов на единицу продукции, в таком случае они тоже учитываются в переменных затратах. В противном случае затраты на энергоресурсы будут учитываться в постоянных затратах.  </t>
        </is>
      </c>
      <c r="B15" s="840" t="n"/>
      <c r="C15" s="840" t="n"/>
      <c r="D15" s="840" t="n"/>
      <c r="E15" s="840" t="n"/>
      <c r="F15" s="840" t="n"/>
      <c r="G15" s="840" t="n"/>
      <c r="H15" s="840" t="n"/>
      <c r="I15" s="840" t="n"/>
      <c r="J15" s="840" t="n"/>
      <c r="K15" s="840" t="n"/>
      <c r="L15" s="840" t="n"/>
      <c r="M15" s="840" t="n"/>
      <c r="N15" s="840" t="n"/>
      <c r="O15" s="840" t="n"/>
      <c r="P15" s="841" t="n"/>
    </row>
    <row r="16" ht="35.75" customHeight="1">
      <c r="A16" s="648" t="inlineStr">
        <is>
          <t>Реальный экономический эффект</t>
        </is>
      </c>
      <c r="B16" s="840" t="n"/>
      <c r="C16" s="840" t="n"/>
      <c r="D16" s="840" t="n"/>
      <c r="E16" s="840" t="n"/>
      <c r="F16" s="840" t="n"/>
      <c r="G16" s="840" t="n"/>
      <c r="H16" s="841" t="n"/>
      <c r="I16" s="648" t="inlineStr">
        <is>
          <t>Потенциальный экономический эффект</t>
        </is>
      </c>
      <c r="J16" s="840" t="n"/>
      <c r="K16" s="840" t="n"/>
      <c r="L16" s="840" t="n"/>
      <c r="M16" s="840" t="n"/>
      <c r="N16" s="840" t="n"/>
      <c r="O16" s="840" t="n"/>
      <c r="P16" s="841" t="n"/>
    </row>
    <row r="17" ht="86" customHeight="1">
      <c r="A17" s="647" t="inlineStr">
        <is>
          <t>2.1.1 Экономический эффект от экономии материальных ресурсов на одну единицу продукции (пункт 6.6.1 Методики) определяться разницей между расходами материального ресурса до начала проекта Мр1 и по его окончании Мр2. Полученная разница умножается на цену сырья и материалов. При большой номенклатурной линейке сырья и материалов в расчет берутся средние значения. В представленном случае эффект от экономии будет следующим:</t>
        </is>
      </c>
      <c r="B17" s="840" t="n"/>
      <c r="C17" s="840" t="n"/>
      <c r="D17" s="840" t="n"/>
      <c r="E17" s="840" t="n"/>
      <c r="F17" s="840" t="n"/>
      <c r="G17" s="840" t="n"/>
      <c r="H17" s="841" t="n"/>
      <c r="I17" s="649" t="inlineStr">
        <is>
          <t>2.1.6 Общий уровень переменных издержек (пункт 5.6 Методики) находится суммированием всех эффектов от снижения удельных расходов и умножением на разницу между (ОВП 2  и ОРП2). Потенциальный  экономический эффект от снижения переменных издержек будет иметь следующее значения:</t>
        </is>
      </c>
      <c r="J17" s="840" t="n"/>
      <c r="K17" s="840" t="n"/>
      <c r="L17" s="840" t="n"/>
      <c r="M17" s="840" t="n"/>
      <c r="N17" s="840" t="n"/>
      <c r="O17" s="840" t="n"/>
      <c r="P17" s="841" t="n"/>
    </row>
    <row r="18" ht="38" customHeight="1">
      <c r="A18" s="646" t="inlineStr">
        <is>
          <t>ЭЭмр= (5 - 4) * 500 рублей = 500 рублей.</t>
        </is>
      </c>
      <c r="B18" s="840" t="n"/>
      <c r="C18" s="840" t="n"/>
      <c r="D18" s="840" t="n"/>
      <c r="E18" s="840" t="n"/>
      <c r="F18" s="840" t="n"/>
      <c r="G18" s="840" t="n"/>
      <c r="H18" s="841" t="n"/>
      <c r="I18" s="651" t="inlineStr">
        <is>
          <t>ЭЭзпот = (500 + 0,053 + 195) * (5 928 – 5 472) = 316 944 рублей.</t>
        </is>
      </c>
      <c r="J18" s="840" t="n"/>
      <c r="K18" s="840" t="n"/>
      <c r="L18" s="840" t="n"/>
      <c r="M18" s="840" t="n"/>
      <c r="N18" s="840" t="n"/>
      <c r="O18" s="840" t="n"/>
      <c r="P18" s="841" t="n"/>
    </row>
    <row r="19" ht="96" customHeight="1">
      <c r="A19" s="647" t="inlineStr">
        <is>
          <t>2.1.2 Экономический эффект от экономии коммунальных услуг на одну единицу продукции (пункт 6.6.2 Методики) рассчитывается по схожему принципу с расходами на сырье и материалы. Определяется разница удельных расходов на коммунальные расходы и умножается на соответствующий тариф. При наличии заполненных данных по нескольким коммунальным ресурсам значения суммируются. В нашем случае определены только значения 
по расходам на электроэнергию:</t>
        </is>
      </c>
      <c r="B19" s="840" t="n"/>
      <c r="C19" s="840" t="n"/>
      <c r="D19" s="840" t="n"/>
      <c r="E19" s="840" t="n"/>
      <c r="F19" s="840" t="n"/>
      <c r="G19" s="840" t="n"/>
      <c r="H19" s="841" t="n"/>
      <c r="I19" s="649" t="inlineStr">
        <is>
          <t xml:space="preserve"> 2.1.7 Сумма потенциальных экономических эффектов по увеличению объемов реализации и снижению переменных затрат соответствует потенциальному эффекту от увеличения объема производства.</t>
        </is>
      </c>
      <c r="J19" s="840" t="n"/>
      <c r="K19" s="840" t="n"/>
      <c r="L19" s="840" t="n"/>
      <c r="M19" s="840" t="n"/>
      <c r="N19" s="840" t="n"/>
      <c r="O19" s="840" t="n"/>
      <c r="P19" s="841" t="n"/>
    </row>
    <row r="20" ht="37.25" customHeight="1">
      <c r="A20" s="646" t="inlineStr">
        <is>
          <t>ЭЭкр= (1,34 – 1,33) * 5,3 рублей = 0,053 рублей</t>
        </is>
      </c>
      <c r="B20" s="840" t="n"/>
      <c r="C20" s="840" t="n"/>
      <c r="D20" s="840" t="n"/>
      <c r="E20" s="840" t="n"/>
      <c r="F20" s="840" t="n"/>
      <c r="G20" s="840" t="n"/>
      <c r="H20" s="841" t="n"/>
      <c r="I20" s="167" t="n"/>
      <c r="J20" s="167" t="n"/>
      <c r="K20" s="167" t="n"/>
      <c r="L20" s="167" t="n"/>
      <c r="M20" s="167" t="n"/>
      <c r="N20" s="167" t="n"/>
      <c r="O20" s="167" t="n"/>
      <c r="P20" s="167" t="n"/>
    </row>
    <row r="21" ht="86" customHeight="1">
      <c r="A21" s="647" t="inlineStr">
        <is>
          <t>2.1.3 Экономический эффект от экономии трудовых затрат на одну единицу продукции (пункт 6.6.3 Методики) определяется исходя из тарифной ставки рабочего Стар и разности трудоемкости в потоке (Тр1-Тр2). Также 
в расчете участвуют дополнительные затраты на социальные расходы СВ. 
На текущий момент для основной категории плательщиков взнос установлен на уровне 30%. В нашем случае итоговое значение принимает следующее значение:</t>
        </is>
      </c>
      <c r="B21" s="840" t="n"/>
      <c r="C21" s="840" t="n"/>
      <c r="D21" s="840" t="n"/>
      <c r="E21" s="840" t="n"/>
      <c r="F21" s="840" t="n"/>
      <c r="G21" s="840" t="n"/>
      <c r="H21" s="841" t="n"/>
      <c r="I21" s="167" t="n"/>
      <c r="J21" s="167" t="n"/>
      <c r="K21" s="167" t="n"/>
      <c r="L21" s="167" t="n"/>
      <c r="M21" s="167" t="n"/>
      <c r="N21" s="167" t="n"/>
      <c r="O21" s="167" t="n"/>
      <c r="P21" s="167" t="n"/>
    </row>
    <row r="22" ht="40.25" customHeight="1">
      <c r="A22" s="646" t="inlineStr">
        <is>
          <t>ЭЭтр= (2- 1,5) * 300  * 1,3 = 195 рублей</t>
        </is>
      </c>
      <c r="B22" s="840" t="n"/>
      <c r="C22" s="840" t="n"/>
      <c r="D22" s="840" t="n"/>
      <c r="E22" s="840" t="n"/>
      <c r="F22" s="840" t="n"/>
      <c r="G22" s="840" t="n"/>
      <c r="H22" s="841" t="n"/>
      <c r="I22" s="167" t="n"/>
      <c r="J22" s="167" t="n"/>
      <c r="K22" s="167" t="n"/>
      <c r="L22" s="167" t="n"/>
      <c r="M22" s="167" t="n"/>
      <c r="N22" s="167" t="n"/>
      <c r="O22" s="167" t="n"/>
      <c r="P22" s="167" t="n"/>
    </row>
    <row r="23" ht="71" customHeight="1">
      <c r="A23" s="647" t="inlineStr">
        <is>
          <t>2.1.4 Общий уровень переменных издержек (пункт 5.6 Методики) находится суммированием всех эффектов от снижения удельных расходов 
и умножением на ОРП2 (для определения реального эффекта) . Реальный экономический эффект от снижения переменных издержек будет иметь следующее значение:</t>
        </is>
      </c>
      <c r="B23" s="840" t="n"/>
      <c r="C23" s="840" t="n"/>
      <c r="D23" s="840" t="n"/>
      <c r="E23" s="840" t="n"/>
      <c r="F23" s="840" t="n"/>
      <c r="G23" s="840" t="n"/>
      <c r="H23" s="841" t="n"/>
      <c r="I23" s="167" t="n"/>
      <c r="J23" s="167" t="n"/>
      <c r="K23" s="167" t="n"/>
      <c r="L23" s="167" t="n"/>
      <c r="M23" s="167" t="n"/>
      <c r="N23" s="167" t="n"/>
      <c r="O23" s="167" t="n"/>
      <c r="P23" s="167" t="n"/>
    </row>
    <row r="24" ht="34.25" customHeight="1">
      <c r="A24" s="651" t="inlineStr">
        <is>
          <t>ЭЭзпер = (500 + 0,053 + 195) * 5 472 = 3 803 330 рублей</t>
        </is>
      </c>
      <c r="B24" s="840" t="n"/>
      <c r="C24" s="840" t="n"/>
      <c r="D24" s="840" t="n"/>
      <c r="E24" s="840" t="n"/>
      <c r="F24" s="840" t="n"/>
      <c r="G24" s="840" t="n"/>
      <c r="H24" s="841" t="n"/>
      <c r="I24" s="167" t="n"/>
      <c r="J24" s="167" t="n"/>
      <c r="K24" s="167" t="n"/>
      <c r="L24" s="167" t="n"/>
      <c r="M24" s="167" t="n"/>
      <c r="N24" s="167" t="n"/>
      <c r="O24" s="167" t="n"/>
      <c r="P24" s="167" t="n"/>
    </row>
    <row r="25" ht="56.75" customHeight="1">
      <c r="A25" s="647" t="inlineStr">
        <is>
          <t xml:space="preserve">2.1.5 Сумма реальных экономических эффектов по увеличению объемов реализации и снижению переменных затрат соответствует экономическому эффекту по увеличению маржинальной прибыли. </t>
        </is>
      </c>
      <c r="B25" s="840" t="n"/>
      <c r="C25" s="840" t="n"/>
      <c r="D25" s="840" t="n"/>
      <c r="E25" s="840" t="n"/>
      <c r="F25" s="840" t="n"/>
      <c r="G25" s="840" t="n"/>
      <c r="H25" s="841" t="n"/>
      <c r="I25" s="650" t="n"/>
      <c r="J25" s="840" t="n"/>
      <c r="K25" s="840" t="n"/>
      <c r="L25" s="840" t="n"/>
      <c r="M25" s="840" t="n"/>
      <c r="N25" s="840" t="n"/>
      <c r="O25" s="840" t="n"/>
      <c r="P25" s="841" t="n"/>
    </row>
    <row r="26" ht="68" customHeight="1">
      <c r="A26" s="647" t="inlineStr">
        <is>
          <t>2.2  	Экономия от снижения постоянных затрат (пункт 6.8 Методики) Данный эффект учитывает результаты по оптимизации затрат потока, которые нельзя отнести к переменным расходам. В нашем случае в чек-листе были заполнены данные по постоянным трудозатратам и расходам на тепло и электричество. Остальные постоянные затраты предприятие по причине их низкой экономической значимости не указало, следовательно, в расчетах они не участвуют.</t>
        </is>
      </c>
      <c r="B26" s="840" t="n"/>
      <c r="C26" s="840" t="n"/>
      <c r="D26" s="840" t="n"/>
      <c r="E26" s="840" t="n"/>
      <c r="F26" s="840" t="n"/>
      <c r="G26" s="840" t="n"/>
      <c r="H26" s="840" t="n"/>
      <c r="I26" s="840" t="n"/>
      <c r="J26" s="840" t="n"/>
      <c r="K26" s="840" t="n"/>
      <c r="L26" s="840" t="n"/>
      <c r="M26" s="840" t="n"/>
      <c r="N26" s="840" t="n"/>
      <c r="O26" s="840" t="n"/>
      <c r="P26" s="841" t="n"/>
    </row>
    <row r="27" ht="54" customHeight="1">
      <c r="A27" s="647" t="inlineStr">
        <is>
          <t xml:space="preserve">2.2.1 Эффект от снижения расходов на фонд оплаты труда персонала, оклад которых не зависит от объема произведенной продукции (пункт 6.8.1). Оптимизация процесса часто приводит к тому, что некоторые функции становятся неактуальными. Вследствие чего руководство вынуждено сокращать часть персонала. Данный эффект учитывает снижение персонала и средней заработной платы. </t>
        </is>
      </c>
      <c r="B27" s="840" t="n"/>
      <c r="C27" s="840" t="n"/>
      <c r="D27" s="840" t="n"/>
      <c r="E27" s="840" t="n"/>
      <c r="F27" s="840" t="n"/>
      <c r="G27" s="840" t="n"/>
      <c r="H27" s="840" t="n"/>
      <c r="I27" s="840" t="n"/>
      <c r="J27" s="840" t="n"/>
      <c r="K27" s="840" t="n"/>
      <c r="L27" s="840" t="n"/>
      <c r="M27" s="840" t="n"/>
      <c r="N27" s="840" t="n"/>
      <c r="O27" s="840" t="n"/>
      <c r="P27" s="841" t="n"/>
    </row>
    <row r="28" ht="33.5" customHeight="1">
      <c r="A28" s="646" t="inlineStr">
        <is>
          <t>ЭЭфот= (20 – 18) * 20 000 * 12 * 1,3 = 624 000 рублей.</t>
        </is>
      </c>
      <c r="B28" s="840" t="n"/>
      <c r="C28" s="840" t="n"/>
      <c r="D28" s="840" t="n"/>
      <c r="E28" s="840" t="n"/>
      <c r="F28" s="840" t="n"/>
      <c r="G28" s="840" t="n"/>
      <c r="H28" s="840" t="n"/>
      <c r="I28" s="840" t="n"/>
      <c r="J28" s="840" t="n"/>
      <c r="K28" s="840" t="n"/>
      <c r="L28" s="840" t="n"/>
      <c r="M28" s="840" t="n"/>
      <c r="N28" s="840" t="n"/>
      <c r="O28" s="840" t="n"/>
      <c r="P28" s="841" t="n"/>
    </row>
    <row r="29" ht="48.5" customHeight="1">
      <c r="A29" s="647" t="inlineStr">
        <is>
          <t>2.2.2 Эффект от снижения расходов на коммунальные услуги (пункт 6.8.2). На основании заполненных данных мы определяем эффект только от снижения расходов на электричество и тепло. Исходя из того, что рабочая площадь предприятия была сокращена на 200 м2, то данный эффект был достигнут в первую очередь от снижения коммунальных услуг на эту площадь. Эффект будет иметь следующее значение:</t>
        </is>
      </c>
      <c r="B29" s="840" t="n"/>
      <c r="C29" s="840" t="n"/>
      <c r="D29" s="840" t="n"/>
      <c r="E29" s="840" t="n"/>
      <c r="F29" s="840" t="n"/>
      <c r="G29" s="840" t="n"/>
      <c r="H29" s="840" t="n"/>
      <c r="I29" s="840" t="n"/>
      <c r="J29" s="840" t="n"/>
      <c r="K29" s="840" t="n"/>
      <c r="L29" s="840" t="n"/>
      <c r="M29" s="840" t="n"/>
      <c r="N29" s="840" t="n"/>
      <c r="O29" s="840" t="n"/>
      <c r="P29" s="841" t="n"/>
    </row>
    <row r="30" ht="32.5" customHeight="1">
      <c r="A30" s="646" t="inlineStr">
        <is>
          <t>ЭЭжкх= (150 000–120 000) * 5,3 + (8472 – 8048,4)* 1642 = 854 551 рублей.</t>
        </is>
      </c>
      <c r="B30" s="840" t="n"/>
      <c r="C30" s="840" t="n"/>
      <c r="D30" s="840" t="n"/>
      <c r="E30" s="840" t="n"/>
      <c r="F30" s="840" t="n"/>
      <c r="G30" s="840" t="n"/>
      <c r="H30" s="840" t="n"/>
      <c r="I30" s="840" t="n"/>
      <c r="J30" s="840" t="n"/>
      <c r="K30" s="840" t="n"/>
      <c r="L30" s="840" t="n"/>
      <c r="M30" s="840" t="n"/>
      <c r="N30" s="840" t="n"/>
      <c r="O30" s="840" t="n"/>
      <c r="P30" s="841" t="n"/>
    </row>
    <row r="31" ht="33.5" customHeight="1">
      <c r="A31" s="647" t="inlineStr">
        <is>
          <t xml:space="preserve">2.2.3 Эффект от снижения расходов на текущий ремонт и обслуживание оборудования (пункт 6.8.3). Данный эффект определяется разностью затрат на ремонт в до начала и по окончании проекта, приведенные к условному году: </t>
        </is>
      </c>
      <c r="B31" s="840" t="n"/>
      <c r="C31" s="840" t="n"/>
      <c r="D31" s="840" t="n"/>
      <c r="E31" s="840" t="n"/>
      <c r="F31" s="840" t="n"/>
      <c r="G31" s="840" t="n"/>
      <c r="H31" s="840" t="n"/>
      <c r="I31" s="840" t="n"/>
      <c r="J31" s="840" t="n"/>
      <c r="K31" s="840" t="n"/>
      <c r="L31" s="840" t="n"/>
      <c r="M31" s="840" t="n"/>
      <c r="N31" s="840" t="n"/>
      <c r="O31" s="840" t="n"/>
      <c r="P31" s="841" t="n"/>
    </row>
    <row r="32" ht="30.5" customHeight="1">
      <c r="A32" s="646" t="inlineStr">
        <is>
          <t>ЭЭрем= 100 000 – 90 000 = 10 000 рублей</t>
        </is>
      </c>
      <c r="B32" s="840" t="n"/>
      <c r="C32" s="840" t="n"/>
      <c r="D32" s="840" t="n"/>
      <c r="E32" s="840" t="n"/>
      <c r="F32" s="840" t="n"/>
      <c r="G32" s="840" t="n"/>
      <c r="H32" s="840" t="n"/>
      <c r="I32" s="840" t="n"/>
      <c r="J32" s="840" t="n"/>
      <c r="K32" s="840" t="n"/>
      <c r="L32" s="840" t="n"/>
      <c r="M32" s="840" t="n"/>
      <c r="N32" s="840" t="n"/>
      <c r="O32" s="840" t="n"/>
      <c r="P32" s="841" t="n"/>
    </row>
    <row r="33" ht="37.25" customHeight="1">
      <c r="A33" s="647" t="inlineStr">
        <is>
          <t>2.2.4 Общий уровень эффекта от оптимизации постоянных издержек (пункт 6.8 Методики) мы найдем суммированием всех эффектов от снижения постоянных расходов. Реальный и потенциальный экономические эффекты в данном случае будут совпадать:</t>
        </is>
      </c>
      <c r="B33" s="840" t="n"/>
      <c r="C33" s="840" t="n"/>
      <c r="D33" s="840" t="n"/>
      <c r="E33" s="840" t="n"/>
      <c r="F33" s="840" t="n"/>
      <c r="G33" s="840" t="n"/>
      <c r="H33" s="840" t="n"/>
      <c r="I33" s="840" t="n"/>
      <c r="J33" s="840" t="n"/>
      <c r="K33" s="840" t="n"/>
      <c r="L33" s="840" t="n"/>
      <c r="M33" s="840" t="n"/>
      <c r="N33" s="840" t="n"/>
      <c r="O33" s="840" t="n"/>
      <c r="P33" s="841" t="n"/>
    </row>
    <row r="34" ht="36" customHeight="1">
      <c r="A34" s="646" t="inlineStr">
        <is>
          <t>ЭЭзпост = 624 000 + 854 551 + 10 000 = 1 488 551 рублей</t>
        </is>
      </c>
      <c r="B34" s="840" t="n"/>
      <c r="C34" s="840" t="n"/>
      <c r="D34" s="840" t="n"/>
      <c r="E34" s="840" t="n"/>
      <c r="F34" s="840" t="n"/>
      <c r="G34" s="840" t="n"/>
      <c r="H34" s="840" t="n"/>
      <c r="I34" s="840" t="n"/>
      <c r="J34" s="840" t="n"/>
      <c r="K34" s="840" t="n"/>
      <c r="L34" s="840" t="n"/>
      <c r="M34" s="840" t="n"/>
      <c r="N34" s="840" t="n"/>
      <c r="O34" s="840" t="n"/>
      <c r="P34" s="841" t="n"/>
    </row>
    <row r="35" ht="77.75" customHeight="1">
      <c r="A35" s="647" t="inlineStr">
        <is>
          <t xml:space="preserve">3.  Экономический эффект от снижения уровня запасов (пункт 6.7 Методики) показывает объем единовременно высвобожденной ликвидности и возможного дохода от его использования. Расчет осуществляется на основе полученной разницы от снижения запасов и стоимости этих запасов. На разных стадиях производственного цикла запасы имеют разную стоимость, поэтому мы рассматриваем сырье и материалы, НЗП и готовую продукцию. Методика предполагает также расчет возможного дохода от высвободившихся денежных средств, при условии, что данная сумма будет размещена в кредитной организации под ключевую ставку Банка России. </t>
        </is>
      </c>
      <c r="B35" s="840" t="n"/>
      <c r="C35" s="840" t="n"/>
      <c r="D35" s="840" t="n"/>
      <c r="E35" s="840" t="n"/>
      <c r="F35" s="840" t="n"/>
      <c r="G35" s="840" t="n"/>
      <c r="H35" s="840" t="n"/>
      <c r="I35" s="840" t="n"/>
      <c r="J35" s="840" t="n"/>
      <c r="K35" s="840" t="n"/>
      <c r="L35" s="840" t="n"/>
      <c r="M35" s="840" t="n"/>
      <c r="N35" s="840" t="n"/>
      <c r="O35" s="840" t="n"/>
      <c r="P35" s="841" t="n"/>
    </row>
    <row r="36" ht="44" customHeight="1">
      <c r="A36" s="647" t="inlineStr">
        <is>
          <t>3.1 Экономический эффект от снижения объема сырья и материалов определяется по формуле (пункт 6.7.1). При наличии широкого номенклатурного ряда сырья, дельта снижения складывается по каждому вида запасов. В нашем примере с учетом цены 1 единицы сырья и материалов в 500 рублей значение эффекта будет иметь следующее значение:</t>
        </is>
      </c>
      <c r="B36" s="840" t="n"/>
      <c r="C36" s="840" t="n"/>
      <c r="D36" s="840" t="n"/>
      <c r="E36" s="840" t="n"/>
      <c r="F36" s="840" t="n"/>
      <c r="G36" s="840" t="n"/>
      <c r="H36" s="840" t="n"/>
      <c r="I36" s="840" t="n"/>
      <c r="J36" s="840" t="n"/>
      <c r="K36" s="840" t="n"/>
      <c r="L36" s="840" t="n"/>
      <c r="M36" s="840" t="n"/>
      <c r="N36" s="840" t="n"/>
      <c r="O36" s="840" t="n"/>
      <c r="P36" s="841" t="n"/>
    </row>
    <row r="37" ht="30.5" customHeight="1">
      <c r="A37" s="646" t="inlineStr">
        <is>
          <t>СиМ= (1000 - 800) * 500 = 100 000 рублей</t>
        </is>
      </c>
      <c r="B37" s="840" t="n"/>
      <c r="C37" s="840" t="n"/>
      <c r="D37" s="840" t="n"/>
      <c r="E37" s="840" t="n"/>
      <c r="F37" s="840" t="n"/>
      <c r="G37" s="840" t="n"/>
      <c r="H37" s="840" t="n"/>
      <c r="I37" s="840" t="n"/>
      <c r="J37" s="840" t="n"/>
      <c r="K37" s="840" t="n"/>
      <c r="L37" s="840" t="n"/>
      <c r="M37" s="840" t="n"/>
      <c r="N37" s="840" t="n"/>
      <c r="O37" s="840" t="n"/>
      <c r="P37" s="841" t="n"/>
    </row>
    <row r="38" ht="36" customHeight="1">
      <c r="A38" s="649" t="inlineStr">
        <is>
          <t>3.2 Экономический эффект от снижения объема НЗП определяется по формуле (пункт 6.7.2). Эффект определяется разницей в количестве деталей в потоке 
(Кдп2 Кдп1) и средней стоимостью НЗП. Эффект будет иметь следующее значение:</t>
        </is>
      </c>
      <c r="B38" s="840" t="n"/>
      <c r="C38" s="840" t="n"/>
      <c r="D38" s="840" t="n"/>
      <c r="E38" s="840" t="n"/>
      <c r="F38" s="840" t="n"/>
      <c r="G38" s="840" t="n"/>
      <c r="H38" s="840" t="n"/>
      <c r="I38" s="840" t="n"/>
      <c r="J38" s="840" t="n"/>
      <c r="K38" s="840" t="n"/>
      <c r="L38" s="840" t="n"/>
      <c r="M38" s="840" t="n"/>
      <c r="N38" s="840" t="n"/>
      <c r="O38" s="840" t="n"/>
      <c r="P38" s="841" t="n"/>
    </row>
    <row r="39" ht="25.25" customHeight="1">
      <c r="A39" s="646" t="inlineStr">
        <is>
          <t>НЗП= (120 - 100) * 4000 = 80 000 рублей</t>
        </is>
      </c>
      <c r="B39" s="840" t="n"/>
      <c r="C39" s="840" t="n"/>
      <c r="D39" s="840" t="n"/>
      <c r="E39" s="840" t="n"/>
      <c r="F39" s="840" t="n"/>
      <c r="G39" s="840" t="n"/>
      <c r="H39" s="840" t="n"/>
      <c r="I39" s="840" t="n"/>
      <c r="J39" s="840" t="n"/>
      <c r="K39" s="840" t="n"/>
      <c r="L39" s="840" t="n"/>
      <c r="M39" s="840" t="n"/>
      <c r="N39" s="840" t="n"/>
      <c r="O39" s="840" t="n"/>
      <c r="P39" s="841" t="n"/>
    </row>
    <row r="40" ht="25.25" customHeight="1">
      <c r="A40" s="647" t="inlineStr">
        <is>
          <t>3.3 Экономический эффект от снижения объема готовой продукции определяется по формуле (пункт 6.7.3). Эффект будет иметь следующее значение:</t>
        </is>
      </c>
      <c r="B40" s="840" t="n"/>
      <c r="C40" s="840" t="n"/>
      <c r="D40" s="840" t="n"/>
      <c r="E40" s="840" t="n"/>
      <c r="F40" s="840" t="n"/>
      <c r="G40" s="840" t="n"/>
      <c r="H40" s="840" t="n"/>
      <c r="I40" s="840" t="n"/>
      <c r="J40" s="840" t="n"/>
      <c r="K40" s="840" t="n"/>
      <c r="L40" s="840" t="n"/>
      <c r="M40" s="840" t="n"/>
      <c r="N40" s="840" t="n"/>
      <c r="O40" s="840" t="n"/>
      <c r="P40" s="841" t="n"/>
    </row>
    <row r="41" ht="25.25" customHeight="1">
      <c r="A41" s="646" t="inlineStr">
        <is>
          <t>ГП= (150 - 75) * 7000 = 525 000 рублей</t>
        </is>
      </c>
      <c r="B41" s="840" t="n"/>
      <c r="C41" s="840" t="n"/>
      <c r="D41" s="840" t="n"/>
      <c r="E41" s="840" t="n"/>
      <c r="F41" s="840" t="n"/>
      <c r="G41" s="840" t="n"/>
      <c r="H41" s="840" t="n"/>
      <c r="I41" s="840" t="n"/>
      <c r="J41" s="840" t="n"/>
      <c r="K41" s="840" t="n"/>
      <c r="L41" s="840" t="n"/>
      <c r="M41" s="840" t="n"/>
      <c r="N41" s="840" t="n"/>
      <c r="O41" s="840" t="n"/>
      <c r="P41" s="841" t="n"/>
    </row>
    <row r="42" ht="48.5" customHeight="1">
      <c r="A42" s="647" t="inlineStr">
        <is>
          <t>3.4 Экономический эффект от снижения уровня запасов (пункт 6.7 Методики) определяется суммированием высвободившейся ликвидности. Необходимо отметить, что доход от процентов предприятие получит в будущем периоде, поэтому это будет отложенный эффект. Реальный и потенциальный экономические эффекты в данном случае будут совпадать:</t>
        </is>
      </c>
      <c r="B42" s="840" t="n"/>
      <c r="C42" s="840" t="n"/>
      <c r="D42" s="840" t="n"/>
      <c r="E42" s="840" t="n"/>
      <c r="F42" s="840" t="n"/>
      <c r="G42" s="840" t="n"/>
      <c r="H42" s="840" t="n"/>
      <c r="I42" s="840" t="n"/>
      <c r="J42" s="840" t="n"/>
      <c r="K42" s="840" t="n"/>
      <c r="L42" s="840" t="n"/>
      <c r="M42" s="840" t="n"/>
      <c r="N42" s="840" t="n"/>
      <c r="O42" s="840" t="n"/>
      <c r="P42" s="841" t="n"/>
    </row>
    <row r="43" ht="33.5" customHeight="1">
      <c r="A43" s="646" t="inlineStr">
        <is>
          <t>ЭЭзап = (100 000 + 80 000 + 525 000) * (1+6%) = 747 300 рублей (705 000 рублей единовременный эффект и 42 300 рублей отложенный эффект).</t>
        </is>
      </c>
      <c r="B43" s="840" t="n"/>
      <c r="C43" s="840" t="n"/>
      <c r="D43" s="840" t="n"/>
      <c r="E43" s="840" t="n"/>
      <c r="F43" s="840" t="n"/>
      <c r="G43" s="840" t="n"/>
      <c r="H43" s="840" t="n"/>
      <c r="I43" s="840" t="n"/>
      <c r="J43" s="840" t="n"/>
      <c r="K43" s="840" t="n"/>
      <c r="L43" s="840" t="n"/>
      <c r="M43" s="840" t="n"/>
      <c r="N43" s="840" t="n"/>
      <c r="O43" s="840" t="n"/>
      <c r="P43" s="841" t="n"/>
    </row>
    <row r="44">
      <c r="A44" s="647" t="inlineStr">
        <is>
          <t>4. Экономический эффект по прочим доходам и расходам (пункт 6.9 Методики). К прочим эффектам в формате данной Методики относятся значения по снижению брака и доходы от сдачи высвободившихся площадей в аренду.</t>
        </is>
      </c>
      <c r="B44" s="840" t="n"/>
      <c r="C44" s="840" t="n"/>
      <c r="D44" s="840" t="n"/>
      <c r="E44" s="840" t="n"/>
      <c r="F44" s="840" t="n"/>
      <c r="G44" s="840" t="n"/>
      <c r="H44" s="840" t="n"/>
      <c r="I44" s="840" t="n"/>
      <c r="J44" s="840" t="n"/>
      <c r="K44" s="840" t="n"/>
      <c r="L44" s="840" t="n"/>
      <c r="M44" s="840" t="n"/>
      <c r="N44" s="840" t="n"/>
      <c r="O44" s="840" t="n"/>
      <c r="P44" s="841" t="n"/>
    </row>
    <row r="45" ht="40.5" customHeight="1">
      <c r="A45" s="647" t="inlineStr">
        <is>
          <t>4.1 Экономический эффект от снижения уровня брака (пункт 6.9.1 Методики) определяется исходя из динамики доли брака на производственном процессе 
(Б1-Б2), стоимости средних переменных издержек и объема реализации. Стоимость переменных издержек рассмотрена в пункте 1.3 настоящего примера.</t>
        </is>
      </c>
      <c r="B45" s="840" t="n"/>
      <c r="C45" s="840" t="n"/>
      <c r="D45" s="840" t="n"/>
      <c r="E45" s="840" t="n"/>
      <c r="F45" s="840" t="n"/>
      <c r="G45" s="840" t="n"/>
      <c r="H45" s="840" t="n"/>
      <c r="I45" s="840" t="n"/>
      <c r="J45" s="840" t="n"/>
      <c r="K45" s="840" t="n"/>
      <c r="L45" s="840" t="n"/>
      <c r="M45" s="840" t="n"/>
      <c r="N45" s="840" t="n"/>
      <c r="O45" s="840" t="n"/>
      <c r="P45" s="841" t="n"/>
    </row>
    <row r="46" ht="45" customHeight="1">
      <c r="A46" s="646" t="inlineStr">
        <is>
          <t xml:space="preserve">ЭЭб = 10% * 4184,5 * (5 * 500 + 300 * 2 часа * 1,3 + 1,34 * 5,3) - 5% * 5 472  * (4 * 500 + 300 * 1,5 часа * 1,3 + 1,33 * 5,3) = 1 375 487 – 709 185 = 666 294 рублей </t>
        </is>
      </c>
      <c r="B46" s="840" t="n"/>
      <c r="C46" s="840" t="n"/>
      <c r="D46" s="840" t="n"/>
      <c r="E46" s="840" t="n"/>
      <c r="F46" s="840" t="n"/>
      <c r="G46" s="840" t="n"/>
      <c r="H46" s="840" t="n"/>
      <c r="I46" s="840" t="n"/>
      <c r="J46" s="840" t="n"/>
      <c r="K46" s="840" t="n"/>
      <c r="L46" s="840" t="n"/>
      <c r="M46" s="840" t="n"/>
      <c r="N46" s="840" t="n"/>
      <c r="O46" s="840" t="n"/>
      <c r="P46" s="841" t="n"/>
    </row>
    <row r="47">
      <c r="A47" s="647" t="inlineStr">
        <is>
          <t>4.2 Экономический эффект от сдачи в аренду (пункт 6.9.2 Методики) определяем исходя из высвободившейся площади и ставки арендных платежей:</t>
        </is>
      </c>
      <c r="B47" s="840" t="n"/>
      <c r="C47" s="840" t="n"/>
      <c r="D47" s="840" t="n"/>
      <c r="E47" s="840" t="n"/>
      <c r="F47" s="840" t="n"/>
      <c r="G47" s="840" t="n"/>
      <c r="H47" s="840" t="n"/>
      <c r="I47" s="840" t="n"/>
      <c r="J47" s="840" t="n"/>
      <c r="K47" s="840" t="n"/>
      <c r="L47" s="840" t="n"/>
      <c r="M47" s="840" t="n"/>
      <c r="N47" s="840" t="n"/>
      <c r="O47" s="840" t="n"/>
      <c r="P47" s="841" t="n"/>
    </row>
    <row r="48" ht="42.5" customHeight="1">
      <c r="A48" s="646" t="inlineStr">
        <is>
          <t>ЭЭар= 200 * 2000 = 400 000 рублей</t>
        </is>
      </c>
      <c r="B48" s="840" t="n"/>
      <c r="C48" s="840" t="n"/>
      <c r="D48" s="840" t="n"/>
      <c r="E48" s="840" t="n"/>
      <c r="F48" s="840" t="n"/>
      <c r="G48" s="840" t="n"/>
      <c r="H48" s="840" t="n"/>
      <c r="I48" s="840" t="n"/>
      <c r="J48" s="840" t="n"/>
      <c r="K48" s="840" t="n"/>
      <c r="L48" s="840" t="n"/>
      <c r="M48" s="840" t="n"/>
      <c r="N48" s="840" t="n"/>
      <c r="O48" s="840" t="n"/>
      <c r="P48" s="841" t="n"/>
    </row>
    <row r="49">
      <c r="A49" s="645" t="inlineStr">
        <is>
          <t>4.3 Общий уровень эффектов от прочих доходов и расходов (пункт 6.9 Методики) определяется суммированием всех эффектов:</t>
        </is>
      </c>
      <c r="B49" s="840" t="n"/>
      <c r="C49" s="840" t="n"/>
      <c r="D49" s="840" t="n"/>
      <c r="E49" s="840" t="n"/>
      <c r="F49" s="840" t="n"/>
      <c r="G49" s="840" t="n"/>
      <c r="H49" s="840" t="n"/>
      <c r="I49" s="840" t="n"/>
      <c r="J49" s="840" t="n"/>
      <c r="K49" s="840" t="n"/>
      <c r="L49" s="840" t="n"/>
      <c r="M49" s="840" t="n"/>
      <c r="N49" s="840" t="n"/>
      <c r="O49" s="840" t="n"/>
      <c r="P49" s="841" t="n"/>
    </row>
    <row r="50" ht="35" customHeight="1">
      <c r="A50" s="646" t="inlineStr">
        <is>
          <t>ЭЭпдр (р) = 666 294 + 400 000 = 1 066 294 рублей</t>
        </is>
      </c>
      <c r="B50" s="840" t="n"/>
      <c r="C50" s="840" t="n"/>
      <c r="D50" s="840" t="n"/>
      <c r="E50" s="840" t="n"/>
      <c r="F50" s="840" t="n"/>
      <c r="G50" s="840" t="n"/>
      <c r="H50" s="840" t="n"/>
      <c r="I50" s="840" t="n"/>
      <c r="J50" s="840" t="n"/>
      <c r="K50" s="840" t="n"/>
      <c r="L50" s="840" t="n"/>
      <c r="M50" s="840" t="n"/>
      <c r="N50" s="840" t="n"/>
      <c r="O50" s="840" t="n"/>
      <c r="P50" s="841" t="n"/>
    </row>
    <row r="51" ht="41" customHeight="1">
      <c r="A51" s="647" t="inlineStr">
        <is>
          <t>5.	   Итоговое значение экономического эффекта* (пункт 6.4 Методики) находится суммированием рассчитанных эффектов с разбивкой на реальные и потенциальные эффекты:</t>
        </is>
      </c>
      <c r="B51" s="840" t="n"/>
      <c r="C51" s="840" t="n"/>
      <c r="D51" s="840" t="n"/>
      <c r="E51" s="840" t="n"/>
      <c r="F51" s="840" t="n"/>
      <c r="G51" s="840" t="n"/>
      <c r="H51" s="840" t="n"/>
      <c r="I51" s="840" t="n"/>
      <c r="J51" s="840" t="n"/>
      <c r="K51" s="840" t="n"/>
      <c r="L51" s="840" t="n"/>
      <c r="M51" s="840" t="n"/>
      <c r="N51" s="840" t="n"/>
      <c r="O51" s="840" t="n"/>
      <c r="P51" s="841" t="n"/>
    </row>
    <row r="52" ht="22.25" customHeight="1">
      <c r="A52" s="648" t="inlineStr">
        <is>
          <t>Реальный экономический эффект</t>
        </is>
      </c>
      <c r="B52" s="840" t="n"/>
      <c r="C52" s="840" t="n"/>
      <c r="D52" s="840" t="n"/>
      <c r="E52" s="840" t="n"/>
      <c r="F52" s="840" t="n"/>
      <c r="G52" s="840" t="n"/>
      <c r="H52" s="841" t="n"/>
      <c r="I52" s="648" t="inlineStr">
        <is>
          <t xml:space="preserve">Потенциальный экономический эффект </t>
        </is>
      </c>
      <c r="J52" s="840" t="n"/>
      <c r="K52" s="840" t="n"/>
      <c r="L52" s="840" t="n"/>
      <c r="M52" s="840" t="n"/>
      <c r="N52" s="840" t="n"/>
      <c r="O52" s="840" t="n"/>
      <c r="P52" s="841" t="n"/>
    </row>
    <row r="53" ht="64.25" customHeight="1">
      <c r="A53" s="646" t="inlineStr">
        <is>
          <t>ЭЭреал= 4 780 488 + 3 803 330 + 1 488 551 + 1 066 294 + 705 000 = 
11 843 663 рублей (+ 42 300 рублей – эффект от запасов в следующем году)</t>
        </is>
      </c>
      <c r="B53" s="840" t="n"/>
      <c r="C53" s="840" t="n"/>
      <c r="D53" s="840" t="n"/>
      <c r="E53" s="840" t="n"/>
      <c r="F53" s="840" t="n"/>
      <c r="G53" s="840" t="n"/>
      <c r="H53" s="841" t="n"/>
      <c r="I53" s="646" t="inlineStr">
        <is>
          <t>ЭЭпот= 1 693 128 + 316 944 = 2 010 072 рублей</t>
        </is>
      </c>
      <c r="J53" s="840" t="n"/>
      <c r="K53" s="840" t="n"/>
      <c r="L53" s="840" t="n"/>
      <c r="M53" s="840" t="n"/>
      <c r="N53" s="840" t="n"/>
      <c r="O53" s="840" t="n"/>
      <c r="P53" s="841" t="n"/>
    </row>
    <row r="54">
      <c r="A54" s="644" t="inlineStr">
        <is>
          <t xml:space="preserve"> *Допустимая погрешность из-за округления при расчетах менее 0,05%.</t>
        </is>
      </c>
      <c r="B54" s="840" t="n"/>
      <c r="C54" s="840" t="n"/>
      <c r="D54" s="840" t="n"/>
      <c r="E54" s="840" t="n"/>
      <c r="F54" s="840" t="n"/>
      <c r="G54" s="840" t="n"/>
      <c r="H54" s="840" t="n"/>
      <c r="I54" s="840" t="n"/>
      <c r="J54" s="840" t="n"/>
      <c r="K54" s="840" t="n"/>
      <c r="L54" s="840" t="n"/>
      <c r="M54" s="840" t="n"/>
      <c r="N54" s="840" t="n"/>
      <c r="O54" s="840" t="n"/>
      <c r="P54" s="841" t="n"/>
    </row>
  </sheetData>
  <mergeCells count="65">
    <mergeCell ref="A9:H9"/>
    <mergeCell ref="A47:P47"/>
    <mergeCell ref="A42:P42"/>
    <mergeCell ref="A32:P32"/>
    <mergeCell ref="I6:P6"/>
    <mergeCell ref="A24:H24"/>
    <mergeCell ref="A35:P35"/>
    <mergeCell ref="A4:P4"/>
    <mergeCell ref="A11:H11"/>
    <mergeCell ref="A38:P38"/>
    <mergeCell ref="A29:P29"/>
    <mergeCell ref="A43:P43"/>
    <mergeCell ref="A6:H6"/>
    <mergeCell ref="A28:P28"/>
    <mergeCell ref="A7:H7"/>
    <mergeCell ref="A25:H25"/>
    <mergeCell ref="A44:P44"/>
    <mergeCell ref="A40:P40"/>
    <mergeCell ref="I7:P7"/>
    <mergeCell ref="A16:H16"/>
    <mergeCell ref="I25:P25"/>
    <mergeCell ref="A31:P31"/>
    <mergeCell ref="I16:P16"/>
    <mergeCell ref="A39:P39"/>
    <mergeCell ref="A34:P34"/>
    <mergeCell ref="A48:P48"/>
    <mergeCell ref="A30:P30"/>
    <mergeCell ref="A15:P15"/>
    <mergeCell ref="I53:P53"/>
    <mergeCell ref="I9:P10"/>
    <mergeCell ref="A12:H12"/>
    <mergeCell ref="A18:H18"/>
    <mergeCell ref="A49:P49"/>
    <mergeCell ref="I18:P18"/>
    <mergeCell ref="A21:H21"/>
    <mergeCell ref="A36:P36"/>
    <mergeCell ref="A51:P51"/>
    <mergeCell ref="A45:P45"/>
    <mergeCell ref="A2:N2"/>
    <mergeCell ref="A14:H14"/>
    <mergeCell ref="A5:H5"/>
    <mergeCell ref="A23:H23"/>
    <mergeCell ref="A54:P54"/>
    <mergeCell ref="I52:P52"/>
    <mergeCell ref="A8:H8"/>
    <mergeCell ref="I5:P5"/>
    <mergeCell ref="I17:P17"/>
    <mergeCell ref="A22:H22"/>
    <mergeCell ref="I8:P8"/>
    <mergeCell ref="A17:H17"/>
    <mergeCell ref="A41:P41"/>
    <mergeCell ref="A46:P46"/>
    <mergeCell ref="A53:H53"/>
    <mergeCell ref="B1:N1"/>
    <mergeCell ref="A20:H20"/>
    <mergeCell ref="A37:P37"/>
    <mergeCell ref="A27:P27"/>
    <mergeCell ref="A52:H52"/>
    <mergeCell ref="A10:H10"/>
    <mergeCell ref="I19:P19"/>
    <mergeCell ref="A13:H13"/>
    <mergeCell ref="A19:H19"/>
    <mergeCell ref="A50:P50"/>
    <mergeCell ref="A26:P26"/>
    <mergeCell ref="A33:P33"/>
  </mergeCells>
  <pageMargins left="0.7" right="0.7" top="0.75" bottom="0.75" header="0.3" footer="0.3"/>
  <pageSetup orientation="portrait" paperSize="9" scale="32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User</dc:creator>
  <dcterms:created xmlns:dcterms="http://purl.org/dc/terms/" xmlns:xsi="http://www.w3.org/2001/XMLSchema-instance" xsi:type="dcterms:W3CDTF">2019-11-13T08:46:58Z</dcterms:created>
  <dcterms:modified xmlns:dcterms="http://purl.org/dc/terms/" xmlns:xsi="http://www.w3.org/2001/XMLSchema-instance" xsi:type="dcterms:W3CDTF">2026-09-06T18:39:13Z</dcterms:modified>
  <cp:lastModifiedBy>Александр Пегов</cp:lastModifiedBy>
  <cp:lastPrinted>2026-07-14T08:56:33Z</cp:lastPrinted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0x010100E68C95CDA0273F42AD1B0393BFC240EC</vt:lpwstr>
  </property>
</Properties>
</file>